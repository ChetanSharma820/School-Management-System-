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-by-Step Checklist" sheetId="1" state="visible" r:id="rId1"/>
    <sheet name="Architecture &amp; Tech Stack" sheetId="2" state="visible" r:id="rId2"/>
    <sheet name="Fees &amp; Salaries (Slips)" sheetId="3" state="visible" r:id="rId3"/>
    <sheet name="Supabase SQL Scripts" sheetId="4" state="visible" r:id="rId4"/>
    <sheet name="Role-Based Auth &amp; Access Pl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E2E8F0"/>
      <sz val="11"/>
    </font>
    <font>
      <name val="Segoe UI"/>
      <b val="1"/>
      <color rgb="0064748B"/>
      <sz val="8"/>
    </font>
    <font>
      <name val="Segoe UI"/>
      <b val="1"/>
      <color rgb="001E3A8A"/>
      <sz val="12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  <font>
      <name val="Segoe UI"/>
      <b val="1"/>
      <color rgb="00DC2626"/>
      <sz val="10"/>
    </font>
    <font>
      <name val="Segoe UI"/>
      <b val="1"/>
      <color rgb="00059669"/>
      <sz val="10"/>
    </font>
    <font>
      <name val="Segoe UI"/>
      <b val="1"/>
      <color rgb="00D97706"/>
      <sz val="10"/>
    </font>
    <font>
      <name val="Segoe UI"/>
      <i val="1"/>
      <color rgb="0064748B"/>
      <sz val="10"/>
    </font>
    <font>
      <name val="Segoe UI"/>
      <b val="1"/>
      <color rgb="000F766E"/>
      <sz val="12"/>
    </font>
    <font>
      <name val="Segoe UI"/>
      <b val="1"/>
      <color rgb="00065F46"/>
      <sz val="12"/>
    </font>
    <font>
      <name val="Consolas"/>
      <sz val="9"/>
    </font>
    <font>
      <name val="Segoe UI"/>
      <b val="1"/>
      <color rgb="001E3A8A"/>
      <sz val="10"/>
    </font>
  </fonts>
  <fills count="1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1E293B"/>
        <bgColor rgb="001E293B"/>
      </patternFill>
    </fill>
    <fill>
      <patternFill patternType="solid">
        <fgColor rgb="00EFF6FF"/>
        <bgColor rgb="00EFF6FF"/>
      </patternFill>
    </fill>
    <fill>
      <patternFill patternType="solid">
        <fgColor rgb="002563EB"/>
        <bgColor rgb="002563E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0F766E"/>
        <bgColor rgb="000F766E"/>
      </patternFill>
    </fill>
    <fill>
      <patternFill patternType="solid">
        <fgColor rgb="0014B8A6"/>
        <bgColor rgb="0014B8A6"/>
      </patternFill>
    </fill>
    <fill>
      <patternFill patternType="solid">
        <fgColor rgb="00065F46"/>
        <bgColor rgb="00065F46"/>
      </patternFill>
    </fill>
    <fill>
      <patternFill patternType="solid">
        <fgColor rgb="0010B981"/>
        <bgColor rgb="0010B981"/>
      </patternFill>
    </fill>
    <fill>
      <patternFill patternType="solid">
        <fgColor rgb="00475569"/>
        <bgColor rgb="00475569"/>
      </patternFill>
    </fill>
    <fill>
      <patternFill patternType="solid">
        <fgColor rgb="0064748B"/>
        <bgColor rgb="0064748B"/>
      </patternFill>
    </fill>
    <fill>
      <patternFill patternType="solid">
        <fgColor rgb="00F1F5F9"/>
        <bgColor rgb="00F1F5F9"/>
      </patternFill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2" fillId="0" borderId="0" pivotButton="0" quotePrefix="0" xfId="0"/>
    <xf numFmtId="0" fontId="5" fillId="9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13" fillId="0" borderId="0" pivotButton="0" quotePrefix="0" xfId="0"/>
    <xf numFmtId="0" fontId="5" fillId="11" borderId="1" applyAlignment="1" pivotButton="0" quotePrefix="0" xfId="0">
      <alignment horizontal="center" vertical="center"/>
    </xf>
    <xf numFmtId="0" fontId="1" fillId="12" borderId="0" applyAlignment="1" pivotButton="0" quotePrefix="0" xfId="0">
      <alignment horizontal="center" vertical="center"/>
    </xf>
    <xf numFmtId="0" fontId="5" fillId="13" borderId="0" pivotButton="0" quotePrefix="0" xfId="0"/>
    <xf numFmtId="0" fontId="7" fillId="14" borderId="1" applyAlignment="1" pivotButton="0" quotePrefix="0" xfId="0">
      <alignment horizontal="center" vertical="top"/>
    </xf>
    <xf numFmtId="0" fontId="14" fillId="6" borderId="1" applyAlignment="1" pivotButton="0" quotePrefix="0" xfId="0">
      <alignment horizontal="left" vertical="top" wrapText="1"/>
    </xf>
    <xf numFmtId="0" fontId="2" fillId="15" borderId="0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5" fillId="10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36" customWidth="1" min="3" max="3"/>
    <col width="64" customWidth="1" min="4" max="4"/>
    <col width="32" customWidth="1" min="5" max="5"/>
    <col width="14" customWidth="1" min="6" max="6"/>
    <col width="16" customWidth="1" min="7" max="7"/>
    <col width="32" customWidth="1" min="8" max="8"/>
  </cols>
  <sheetData>
    <row r="1" ht="42" customHeight="1">
      <c r="A1" s="1" t="inlineStr">
        <is>
          <t>🎓 School Management System — Learning &amp; Development Checklist</t>
        </is>
      </c>
    </row>
    <row r="2" ht="24" customHeight="1">
      <c r="A2" s="2" t="inlineStr">
        <is>
          <t>Full-Stack Project: C++ Backend (REST API) + Supabase (Cloud PostgreSQL) + React Frontend (Vite)</t>
        </is>
      </c>
    </row>
    <row r="3" ht="18" customHeight="1">
      <c r="A3" s="3" t="inlineStr">
        <is>
          <t>Total Tasks</t>
        </is>
      </c>
      <c r="B3" s="3" t="inlineStr">
        <is>
          <t>Not Started</t>
        </is>
      </c>
      <c r="C3" s="3" t="inlineStr">
        <is>
          <t>In Progress</t>
        </is>
      </c>
      <c r="D3" s="3" t="inlineStr">
        <is>
          <t>Completed</t>
        </is>
      </c>
      <c r="E3" s="3" t="inlineStr">
        <is>
          <t>High Priority</t>
        </is>
      </c>
      <c r="F3" s="3" t="inlineStr">
        <is>
          <t>Medium Priority</t>
        </is>
      </c>
      <c r="G3" s="3" t="inlineStr">
        <is>
          <t>Optional</t>
        </is>
      </c>
      <c r="H3" s="3" t="inlineStr">
        <is>
          <t>Completion %</t>
        </is>
      </c>
    </row>
    <row r="4" ht="24" customHeight="1">
      <c r="A4" s="4">
        <f>COUNTA(B6:B39)</f>
        <v/>
      </c>
      <c r="B4" s="4">
        <f>COUNTIF(G6:G39, "Not Started")</f>
        <v/>
      </c>
      <c r="C4" s="4">
        <f>COUNTIF(G6:G39, "In Progress")</f>
        <v/>
      </c>
      <c r="D4" s="4">
        <f>COUNTIF(G6:G39, "Completed")</f>
        <v/>
      </c>
      <c r="E4" s="4">
        <f>COUNTIF(F6:F39, "High")</f>
        <v/>
      </c>
      <c r="F4" s="4">
        <f>COUNTIF(F6:F39, "Medium")</f>
        <v/>
      </c>
      <c r="G4" s="4">
        <f>COUNTIF(F6:F39, "Optional")</f>
        <v/>
      </c>
      <c r="H4" s="5">
        <f>IFERROR(D4/A4, 0)</f>
        <v/>
      </c>
    </row>
    <row r="5" ht="28" customHeight="1">
      <c r="A5" s="6" t="inlineStr">
        <is>
          <t>Phase</t>
        </is>
      </c>
      <c r="B5" s="6" t="inlineStr">
        <is>
          <t>Step ID</t>
        </is>
      </c>
      <c r="C5" s="6" t="inlineStr">
        <is>
          <t>Task / Topic Name</t>
        </is>
      </c>
      <c r="D5" s="6" t="inlineStr">
        <is>
          <t>Description &amp; Key Learning Objectives</t>
        </is>
      </c>
      <c r="E5" s="6" t="inlineStr">
        <is>
          <t>Tech &amp; Libraries</t>
        </is>
      </c>
      <c r="F5" s="6" t="inlineStr">
        <is>
          <t>Priority</t>
        </is>
      </c>
      <c r="G5" s="6" t="inlineStr">
        <is>
          <t>Status</t>
        </is>
      </c>
      <c r="H5" s="6" t="inlineStr">
        <is>
          <t>My Notes / Questions</t>
        </is>
      </c>
    </row>
    <row r="6" ht="24" customHeight="1">
      <c r="A6" s="7" t="inlineStr">
        <is>
          <t>Phase 1: Setup &amp; Tools</t>
        </is>
      </c>
      <c r="B6" s="8" t="inlineStr">
        <is>
          <t>1.1</t>
        </is>
      </c>
      <c r="C6" s="7" t="inlineStr">
        <is>
          <t>C++ Compiler &amp; Build System Setup</t>
        </is>
      </c>
      <c r="D6" s="7" t="inlineStr">
        <is>
          <t>Verify GCC (MinGW) / compiler. Understand C++ compilation, linking, WinSock2, and include paths.</t>
        </is>
      </c>
      <c r="E6" s="7" t="inlineStr">
        <is>
          <t>GCC, WinSock2 / C++14</t>
        </is>
      </c>
      <c r="F6" s="9" t="inlineStr">
        <is>
          <t>High</t>
        </is>
      </c>
      <c r="G6" s="10" t="inlineStr">
        <is>
          <t>Completed</t>
        </is>
      </c>
      <c r="H6" s="7" t="inlineStr">
        <is>
          <t>Verified working with C++14 &amp; WinSock2 on current GCC!</t>
        </is>
      </c>
    </row>
    <row r="7" ht="24" customHeight="1">
      <c r="A7" s="11" t="inlineStr">
        <is>
          <t>Phase 1: Setup &amp; Tools</t>
        </is>
      </c>
      <c r="B7" s="12" t="inlineStr">
        <is>
          <t>1.2</t>
        </is>
      </c>
      <c r="C7" s="11" t="inlineStr">
        <is>
          <t>Supabase Account &amp; Project Creation</t>
        </is>
      </c>
      <c r="D7" s="11" t="inlineStr">
        <is>
          <t>Create Supabase project. Obtain PostgreSQL direct/pooler URI, API URL, Anon Key, and Service Role Key.</t>
        </is>
      </c>
      <c r="E7" s="11" t="inlineStr">
        <is>
          <t>Supabase Cloud, PostgreSQL</t>
        </is>
      </c>
      <c r="F7" s="13" t="inlineStr">
        <is>
          <t>High</t>
        </is>
      </c>
      <c r="G7" s="14" t="inlineStr">
        <is>
          <t>Completed</t>
        </is>
      </c>
      <c r="H7" s="11" t="inlineStr">
        <is>
          <t>Project initialized: xzmirtkasmtuadvyslri &amp; .env created!</t>
        </is>
      </c>
    </row>
    <row r="8" ht="24" customHeight="1">
      <c r="A8" s="7" t="inlineStr">
        <is>
          <t>Phase 1: Setup &amp; Tools</t>
        </is>
      </c>
      <c r="B8" s="8" t="inlineStr">
        <is>
          <t>1.3</t>
        </is>
      </c>
      <c r="C8" s="7" t="inlineStr">
        <is>
          <t>C++ PostgreSQL / Supabase Connector Setup</t>
        </is>
      </c>
      <c r="D8" s="7" t="inlineStr">
        <is>
          <t>Setup WinINet HTTPS SSL connection to Supabase PostgREST in C++.</t>
        </is>
      </c>
      <c r="E8" s="7" t="inlineStr">
        <is>
          <t>WinINet / SSL / C++14</t>
        </is>
      </c>
      <c r="F8" s="9" t="inlineStr">
        <is>
          <t>High</t>
        </is>
      </c>
      <c r="G8" s="10" t="inlineStr">
        <is>
          <t>Completed</t>
        </is>
      </c>
      <c r="H8" s="7" t="inlineStr">
        <is>
          <t>C++ DatabaseClient tested &amp; fetching live Supabase data!</t>
        </is>
      </c>
    </row>
    <row r="9" ht="24" customHeight="1">
      <c r="A9" s="11" t="inlineStr">
        <is>
          <t>Phase 1: Setup &amp; Tools</t>
        </is>
      </c>
      <c r="B9" s="12" t="inlineStr">
        <is>
          <t>1.4</t>
        </is>
      </c>
      <c r="C9" s="11" t="inlineStr">
        <is>
          <t>C++ HTTP Server &amp; REST API Setup</t>
        </is>
      </c>
      <c r="D9" s="11" t="inlineStr">
        <is>
          <t>Build multi-client WinSock2 HTTP server with CORS and JSON routing on port 8080.</t>
        </is>
      </c>
      <c r="E9" s="11" t="inlineStr">
        <is>
          <t>WinSock2, C++14</t>
        </is>
      </c>
      <c r="F9" s="13" t="inlineStr">
        <is>
          <t>High</t>
        </is>
      </c>
      <c r="G9" s="14" t="inlineStr">
        <is>
          <t>Completed</t>
        </is>
      </c>
      <c r="H9" s="11" t="inlineStr">
        <is>
          <t>C++ REST API Server live on http://127.0.0.1:8080!</t>
        </is>
      </c>
    </row>
    <row r="10" ht="24" customHeight="1">
      <c r="A10" s="7" t="inlineStr">
        <is>
          <t>Phase 1: Setup &amp; Tools</t>
        </is>
      </c>
      <c r="B10" s="8" t="inlineStr">
        <is>
          <t>1.5</t>
        </is>
      </c>
      <c r="C10" s="7" t="inlineStr">
        <is>
          <t>React + Vite Project Initialization</t>
        </is>
      </c>
      <c r="D10" s="7" t="inlineStr">
        <is>
          <t>Create modern React single-page app using Vite (`npm create vite@latest frontend`).</t>
        </is>
      </c>
      <c r="E10" s="7" t="inlineStr">
        <is>
          <t>Node.js, React, Vite</t>
        </is>
      </c>
      <c r="F10" s="9" t="inlineStr">
        <is>
          <t>High</t>
        </is>
      </c>
      <c r="G10" s="10" t="inlineStr">
        <is>
          <t>Completed</t>
        </is>
      </c>
      <c r="H10" s="7" t="inlineStr">
        <is>
          <t>React + Vite frontend scaffolded &amp; dependencies installed!</t>
        </is>
      </c>
    </row>
    <row r="11" ht="24" customHeight="1">
      <c r="A11" s="11" t="inlineStr">
        <is>
          <t>Phase 2: Database Design (Supabase)</t>
        </is>
      </c>
      <c r="B11" s="12" t="inlineStr">
        <is>
          <t>2.1</t>
        </is>
      </c>
      <c r="C11" s="11" t="inlineStr">
        <is>
          <t>Core Entity-Relationship (ER) Architecture</t>
        </is>
      </c>
      <c r="D11" s="11" t="inlineStr">
        <is>
          <t>Design schema: students, teachers, classes, subjects, attendance, grades.</t>
        </is>
      </c>
      <c r="E11" s="11" t="inlineStr">
        <is>
          <t>Database Modeling, ER Diagrams</t>
        </is>
      </c>
      <c r="F11" s="13" t="inlineStr">
        <is>
          <t>High</t>
        </is>
      </c>
      <c r="G11" s="14" t="inlineStr">
        <is>
          <t>Completed</t>
        </is>
      </c>
      <c r="H11" s="11" t="inlineStr">
        <is>
          <t>Executed Core DDL in Supabase!</t>
        </is>
      </c>
    </row>
    <row r="12" ht="24" customHeight="1">
      <c r="A12" s="7" t="inlineStr">
        <is>
          <t>Phase 2: Database Design (Supabase)</t>
        </is>
      </c>
      <c r="B12" s="8" t="inlineStr">
        <is>
          <t>2.2</t>
        </is>
      </c>
      <c r="C12" s="7" t="inlineStr">
        <is>
          <t>Student Fees &amp; Receipt Schema</t>
        </is>
      </c>
      <c r="D12" s="7" t="inlineStr">
        <is>
          <t>Create student_fees table with gross amount, discounts, fines, net payable, balance, receipt_no.</t>
        </is>
      </c>
      <c r="E12" s="7" t="inlineStr">
        <is>
          <t>PostgreSQL DDL / Constraints</t>
        </is>
      </c>
      <c r="F12" s="9" t="inlineStr">
        <is>
          <t>High</t>
        </is>
      </c>
      <c r="G12" s="10" t="inlineStr">
        <is>
          <t>Completed</t>
        </is>
      </c>
      <c r="H12" s="7" t="inlineStr">
        <is>
          <t>Created student_fees table in Supabase!</t>
        </is>
      </c>
    </row>
    <row r="13" ht="24" customHeight="1">
      <c r="A13" s="11" t="inlineStr">
        <is>
          <t>Phase 2: Database Design (Supabase)</t>
        </is>
      </c>
      <c r="B13" s="12" t="inlineStr">
        <is>
          <t>2.3</t>
        </is>
      </c>
      <c r="C13" s="11" t="inlineStr">
        <is>
          <t>Teacher Salary &amp; Pay-Slip Schema</t>
        </is>
      </c>
      <c r="D13" s="11" t="inlineStr">
        <is>
          <t>Create teacher_salaries table with basic, HRA, DA, PF, TDS, unpaid leaves, net salary, payslip_no.</t>
        </is>
      </c>
      <c r="E13" s="11" t="inlineStr">
        <is>
          <t>PostgreSQL DDL / Constraints</t>
        </is>
      </c>
      <c r="F13" s="13" t="inlineStr">
        <is>
          <t>High</t>
        </is>
      </c>
      <c r="G13" s="14" t="inlineStr">
        <is>
          <t>Completed</t>
        </is>
      </c>
      <c r="H13" s="11" t="inlineStr">
        <is>
          <t>Created teacher_salaries table in Supabase!</t>
        </is>
      </c>
    </row>
    <row r="14" ht="24" customHeight="1">
      <c r="A14" s="7" t="inlineStr">
        <is>
          <t>Phase 2: Database Design (Supabase)</t>
        </is>
      </c>
      <c r="B14" s="8" t="inlineStr">
        <is>
          <t>2.4</t>
        </is>
      </c>
      <c r="C14" s="7" t="inlineStr">
        <is>
          <t>Seed Realistic Test Data</t>
        </is>
      </c>
      <c r="D14" s="7" t="inlineStr">
        <is>
          <t>Insert sample records for students, teachers, fee receipts, and teacher salary slips in Supabase.</t>
        </is>
      </c>
      <c r="E14" s="7" t="inlineStr">
        <is>
          <t>PostgreSQL DML / Supabase</t>
        </is>
      </c>
      <c r="F14" s="9" t="inlineStr">
        <is>
          <t>High</t>
        </is>
      </c>
      <c r="G14" s="10" t="inlineStr">
        <is>
          <t>Completed</t>
        </is>
      </c>
      <c r="H14" s="7" t="inlineStr">
        <is>
          <t>Seeded demo data successfully!</t>
        </is>
      </c>
    </row>
    <row r="15" ht="24" customHeight="1">
      <c r="A15" s="11" t="inlineStr">
        <is>
          <t>Phase 2: Database Design (Supabase)</t>
        </is>
      </c>
      <c r="B15" s="12" t="inlineStr">
        <is>
          <t>2.5</t>
        </is>
      </c>
      <c r="C15" s="11" t="inlineStr">
        <is>
          <t>Row-Level Security (RLS) &amp; Policies</t>
        </is>
      </c>
      <c r="D15" s="11" t="inlineStr">
        <is>
          <t>Understand Supabase RLS security model and configure policies for read/write access.</t>
        </is>
      </c>
      <c r="E15" s="11" t="inlineStr">
        <is>
          <t>Supabase RLS &amp; Security</t>
        </is>
      </c>
      <c r="F15" s="15" t="inlineStr">
        <is>
          <t>Medium</t>
        </is>
      </c>
      <c r="G15" s="14" t="inlineStr">
        <is>
          <t>Completed</t>
        </is>
      </c>
      <c r="H15" s="11" t="inlineStr">
        <is>
          <t>Configured direct access for backend API!</t>
        </is>
      </c>
    </row>
    <row r="16" ht="24" customHeight="1">
      <c r="A16" s="7" t="inlineStr">
        <is>
          <t>Phase 3: C++ Backend DAO</t>
        </is>
      </c>
      <c r="B16" s="8" t="inlineStr">
        <is>
          <t>3.1</t>
        </is>
      </c>
      <c r="C16" s="7" t="inlineStr">
        <is>
          <t>Configuration &amp; Environment Management</t>
        </is>
      </c>
      <c r="D16" s="7" t="inlineStr">
        <is>
          <t>Create .env reader or config module in C++ to securely load Supabase credentials without hardcoding.</t>
        </is>
      </c>
      <c r="E16" s="7" t="inlineStr">
        <is>
          <t>C++ Config / Env</t>
        </is>
      </c>
      <c r="F16" s="9" t="inlineStr">
        <is>
          <t>High</t>
        </is>
      </c>
      <c r="G16" s="10" t="inlineStr">
        <is>
          <t>Completed</t>
        </is>
      </c>
      <c r="H16" s="7" t="inlineStr">
        <is>
          <t>Built config.h loading .env credentials dynamically!</t>
        </is>
      </c>
    </row>
    <row r="17" ht="24" customHeight="1">
      <c r="A17" s="11" t="inlineStr">
        <is>
          <t>Phase 3: C++ Backend DAO</t>
        </is>
      </c>
      <c r="B17" s="12" t="inlineStr">
        <is>
          <t>3.2</t>
        </is>
      </c>
      <c r="C17" s="11" t="inlineStr">
        <is>
          <t>C++ Domain Models (Structs/Classes)</t>
        </is>
      </c>
      <c r="D17" s="11" t="inlineStr">
        <is>
          <t>Define C++ models: Student, Teacher, ClassSection, FeeReceipt, TeacherSalarySlip, Attendance, Grade.</t>
        </is>
      </c>
      <c r="E17" s="11" t="inlineStr">
        <is>
          <t>C++14 Structs / Classes</t>
        </is>
      </c>
      <c r="F17" s="13" t="inlineStr">
        <is>
          <t>High</t>
        </is>
      </c>
      <c r="G17" s="14" t="inlineStr">
        <is>
          <t>Completed</t>
        </is>
      </c>
      <c r="H17" s="11" t="inlineStr">
        <is>
          <t>Defined all domain structs in models.h!</t>
        </is>
      </c>
    </row>
    <row r="18" ht="24" customHeight="1">
      <c r="A18" s="7" t="inlineStr">
        <is>
          <t>Phase 3: C++ Backend DAO</t>
        </is>
      </c>
      <c r="B18" s="8" t="inlineStr">
        <is>
          <t>3.3</t>
        </is>
      </c>
      <c r="C18" s="7" t="inlineStr">
        <is>
          <t>Supabase HTTPS Connection Client</t>
        </is>
      </c>
      <c r="D18" s="7" t="inlineStr">
        <is>
          <t>Implement a robust DB Connection Manager in C++ using WinINet HTTPS with SSL.</t>
        </is>
      </c>
      <c r="E18" s="7" t="inlineStr">
        <is>
          <t>WinINet / C++ Client</t>
        </is>
      </c>
      <c r="F18" s="9" t="inlineStr">
        <is>
          <t>High</t>
        </is>
      </c>
      <c r="G18" s="10" t="inlineStr">
        <is>
          <t>Completed</t>
        </is>
      </c>
      <c r="H18" s="7" t="inlineStr">
        <is>
          <t>Implemented db_client.cpp connecting to Supabase!</t>
        </is>
      </c>
    </row>
    <row r="19" ht="24" customHeight="1">
      <c r="A19" s="11" t="inlineStr">
        <is>
          <t>Phase 3: C++ Backend DAO</t>
        </is>
      </c>
      <c r="B19" s="12" t="inlineStr">
        <is>
          <t>3.4</t>
        </is>
      </c>
      <c r="C19" s="11" t="inlineStr">
        <is>
          <t>Parameterized Prepared Queries</t>
        </is>
      </c>
      <c r="D19" s="11" t="inlineStr">
        <is>
          <t>Implement safe parameterized URL queries in C++ to eliminate SQL Injection risks.</t>
        </is>
      </c>
      <c r="E19" s="11" t="inlineStr">
        <is>
          <t>SQL Security / URL Encoding</t>
        </is>
      </c>
      <c r="F19" s="13" t="inlineStr">
        <is>
          <t>High</t>
        </is>
      </c>
      <c r="G19" s="14" t="inlineStr">
        <is>
          <t>Completed</t>
        </is>
      </c>
      <c r="H19" s="11" t="inlineStr">
        <is>
          <t>Tested parameterized PostgREST calls!</t>
        </is>
      </c>
    </row>
    <row r="20" ht="24" customHeight="1">
      <c r="A20" s="7" t="inlineStr">
        <is>
          <t>Phase 3: C++ Backend DAO</t>
        </is>
      </c>
      <c r="B20" s="8" t="inlineStr">
        <is>
          <t>3.5</t>
        </is>
      </c>
      <c r="C20" s="7" t="inlineStr">
        <is>
          <t>Student &amp; Teacher DAO (Full CRUD)</t>
        </is>
      </c>
      <c r="D20" s="7" t="inlineStr">
        <is>
          <t>Implement getAllStudents(), getStudentById(), addStudent(), updateStudent(), deleteStudent().</t>
        </is>
      </c>
      <c r="E20" s="7" t="inlineStr">
        <is>
          <t>C++ DAO Pattern</t>
        </is>
      </c>
      <c r="F20" s="9" t="inlineStr">
        <is>
          <t>High</t>
        </is>
      </c>
      <c r="G20" s="10" t="inlineStr">
        <is>
          <t>Completed</t>
        </is>
      </c>
      <c r="H20" s="7" t="inlineStr">
        <is>
          <t>Built full student &amp; teacher DAO methods!</t>
        </is>
      </c>
    </row>
    <row r="21" ht="24" customHeight="1">
      <c r="A21" s="11" t="inlineStr">
        <is>
          <t>Phase 3: C++ Backend DAO</t>
        </is>
      </c>
      <c r="B21" s="12" t="inlineStr">
        <is>
          <t>3.6</t>
        </is>
      </c>
      <c r="C21" s="11" t="inlineStr">
        <is>
          <t>Fee Receipt &amp; Collection DAO</t>
        </is>
      </c>
      <c r="D21" s="11" t="inlineStr">
        <is>
          <t>Implement recordFeePayment(), getStudentReceipts(), getPendingFees(), generateReceiptNo().</t>
        </is>
      </c>
      <c r="E21" s="11" t="inlineStr">
        <is>
          <t>C++ Business Logic / DAO</t>
        </is>
      </c>
      <c r="F21" s="13" t="inlineStr">
        <is>
          <t>High</t>
        </is>
      </c>
      <c r="G21" s="14" t="inlineStr">
        <is>
          <t>Completed</t>
        </is>
      </c>
      <c r="H21" s="11" t="inlineStr">
        <is>
          <t>Built fee receipts and collection DAO!</t>
        </is>
      </c>
    </row>
    <row r="22" ht="24" customHeight="1">
      <c r="A22" s="7" t="inlineStr">
        <is>
          <t>Phase 3: C++ Backend DAO</t>
        </is>
      </c>
      <c r="B22" s="8" t="inlineStr">
        <is>
          <t>3.7</t>
        </is>
      </c>
      <c r="C22" s="7" t="inlineStr">
        <is>
          <t>Teacher Payroll &amp; Salary Slip DAO</t>
        </is>
      </c>
      <c r="D22" s="7" t="inlineStr">
        <is>
          <t>Implement generateSalarySlip(), getTeacherPaySlips(), computeSalaryCalculations().</t>
        </is>
      </c>
      <c r="E22" s="7" t="inlineStr">
        <is>
          <t>C++ Business Logic / DAO</t>
        </is>
      </c>
      <c r="F22" s="9" t="inlineStr">
        <is>
          <t>High</t>
        </is>
      </c>
      <c r="G22" s="10" t="inlineStr">
        <is>
          <t>Completed</t>
        </is>
      </c>
      <c r="H22" s="7" t="inlineStr">
        <is>
          <t>Built salary pay-slips and payroll DAO!</t>
        </is>
      </c>
    </row>
    <row r="23" ht="24" customHeight="1">
      <c r="A23" s="11" t="inlineStr">
        <is>
          <t>Phase 3: C++ Backend DAO</t>
        </is>
      </c>
      <c r="B23" s="12" t="inlineStr">
        <is>
          <t>3.8</t>
        </is>
      </c>
      <c r="C23" s="11" t="inlineStr">
        <is>
          <t>Attendance &amp; Gradebook Logic</t>
        </is>
      </c>
      <c r="D23" s="11" t="inlineStr">
        <is>
          <t>Write queries to batch-mark attendance and compute student GPA / term averages.</t>
        </is>
      </c>
      <c r="E23" s="11" t="inlineStr">
        <is>
          <t>C++ Business Logic</t>
        </is>
      </c>
      <c r="F23" s="13" t="inlineStr">
        <is>
          <t>High</t>
        </is>
      </c>
      <c r="G23" s="14" t="inlineStr">
        <is>
          <t>Completed</t>
        </is>
      </c>
      <c r="H23" s="11" t="inlineStr">
        <is>
          <t>Built attendance &amp; grades DAO methods!</t>
        </is>
      </c>
    </row>
    <row r="24" ht="24" customHeight="1">
      <c r="A24" s="7" t="inlineStr">
        <is>
          <t>Phase 3: C++ Backend DAO</t>
        </is>
      </c>
      <c r="B24" s="8" t="inlineStr">
        <is>
          <t>3.9</t>
        </is>
      </c>
      <c r="C24" s="7" t="inlineStr">
        <is>
          <t>C++ DAO Verification Test</t>
        </is>
      </c>
      <c r="D24" s="7" t="inlineStr">
        <is>
          <t>Test executable against live Supabase PostgreSQL tables.</t>
        </is>
      </c>
      <c r="E24" s="7" t="inlineStr">
        <is>
          <t>C++ Testing / CLI</t>
        </is>
      </c>
      <c r="F24" s="16" t="inlineStr">
        <is>
          <t>Medium</t>
        </is>
      </c>
      <c r="G24" s="10" t="inlineStr">
        <is>
          <t>Completed</t>
        </is>
      </c>
      <c r="H24" s="7" t="inlineStr">
        <is>
          <t>Verified live data fetching from Supabase!</t>
        </is>
      </c>
    </row>
    <row r="25" ht="24" customHeight="1">
      <c r="A25" s="11" t="inlineStr">
        <is>
          <t>Phase 4: C++ REST API</t>
        </is>
      </c>
      <c r="B25" s="12" t="inlineStr">
        <is>
          <t>4.1</t>
        </is>
      </c>
      <c r="C25" s="11" t="inlineStr">
        <is>
          <t>HTTP Server Lifecycle &amp; Port Listener</t>
        </is>
      </c>
      <c r="D25" s="11" t="inlineStr">
        <is>
          <t>Initialize multi-client WinSock2 HTTP server listening on port 8080. Handle server shutdown cleanly.</t>
        </is>
      </c>
      <c r="E25" s="11" t="inlineStr">
        <is>
          <t>WinSock2 Server</t>
        </is>
      </c>
      <c r="F25" s="13" t="inlineStr">
        <is>
          <t>High</t>
        </is>
      </c>
      <c r="G25" s="14" t="inlineStr">
        <is>
          <t>Completed</t>
        </is>
      </c>
      <c r="H25" s="11" t="inlineStr">
        <is>
          <t>Built http_server.cpp listening on port 8080!</t>
        </is>
      </c>
    </row>
    <row r="26" ht="24" customHeight="1">
      <c r="A26" s="7" t="inlineStr">
        <is>
          <t>Phase 4: C++ REST API</t>
        </is>
      </c>
      <c r="B26" s="8" t="inlineStr">
        <is>
          <t>4.2</t>
        </is>
      </c>
      <c r="C26" s="7" t="inlineStr">
        <is>
          <t>CORS Middleware (Cross-Origin Resource Sharing)</t>
        </is>
      </c>
      <c r="D26" s="7" t="inlineStr">
        <is>
          <t>Configure OPTIONS pre-flight handler and Access-Control-Allow-* headers for React frontend.</t>
        </is>
      </c>
      <c r="E26" s="7" t="inlineStr">
        <is>
          <t>HTTP CORS Protocols</t>
        </is>
      </c>
      <c r="F26" s="9" t="inlineStr">
        <is>
          <t>High</t>
        </is>
      </c>
      <c r="G26" s="10" t="inlineStr">
        <is>
          <t>Completed</t>
        </is>
      </c>
      <c r="H26" s="7" t="inlineStr">
        <is>
          <t>Enabled full CORS headers for React frontend!</t>
        </is>
      </c>
    </row>
    <row r="27" ht="24" customHeight="1">
      <c r="A27" s="11" t="inlineStr">
        <is>
          <t>Phase 4: C++ REST API</t>
        </is>
      </c>
      <c r="B27" s="12" t="inlineStr">
        <is>
          <t>4.3</t>
        </is>
      </c>
      <c r="C27" s="11" t="inlineStr">
        <is>
          <t>JSON Serialization &amp; Deserialization</t>
        </is>
      </c>
      <c r="D27" s="11" t="inlineStr">
        <is>
          <t>Format JSON responses and parse request payloads.</t>
        </is>
      </c>
      <c r="E27" s="11" t="inlineStr">
        <is>
          <t>JSON / C++</t>
        </is>
      </c>
      <c r="F27" s="13" t="inlineStr">
        <is>
          <t>High</t>
        </is>
      </c>
      <c r="G27" s="14" t="inlineStr">
        <is>
          <t>Completed</t>
        </is>
      </c>
      <c r="H27" s="11" t="inlineStr">
        <is>
          <t>Built JSON request parser &amp; response builder!</t>
        </is>
      </c>
    </row>
    <row r="28" ht="24" customHeight="1">
      <c r="A28" s="7" t="inlineStr">
        <is>
          <t>Phase 4: C++ REST API</t>
        </is>
      </c>
      <c r="B28" s="8" t="inlineStr">
        <is>
          <t>4.4</t>
        </is>
      </c>
      <c r="C28" s="7" t="inlineStr">
        <is>
          <t>Student &amp; Teacher REST Endpoints</t>
        </is>
      </c>
      <c r="D28" s="7" t="inlineStr">
        <is>
          <t>Build `GET/POST/PUT/DELETE /api/students` and `GET/POST/PUT/DELETE /api/teachers`.</t>
        </is>
      </c>
      <c r="E28" s="7" t="inlineStr">
        <is>
          <t>REST API Design</t>
        </is>
      </c>
      <c r="F28" s="9" t="inlineStr">
        <is>
          <t>High</t>
        </is>
      </c>
      <c r="G28" s="10" t="inlineStr">
        <is>
          <t>Completed</t>
        </is>
      </c>
      <c r="H28" s="7" t="inlineStr">
        <is>
          <t>Built /api/students &amp; /api/teachers routes!</t>
        </is>
      </c>
    </row>
    <row r="29" ht="24" customHeight="1">
      <c r="A29" s="11" t="inlineStr">
        <is>
          <t>Phase 4: C++ REST API</t>
        </is>
      </c>
      <c r="B29" s="12" t="inlineStr">
        <is>
          <t>4.5</t>
        </is>
      </c>
      <c r="C29" s="11" t="inlineStr">
        <is>
          <t>Fee Management REST Endpoints</t>
        </is>
      </c>
      <c r="D29" s="11" t="inlineStr">
        <is>
          <t>Build `GET /api/fees`, `POST /api/fees/collect`, `GET /api/fees/receipt/:receipt_no`.</t>
        </is>
      </c>
      <c r="E29" s="11" t="inlineStr">
        <is>
          <t>REST API Design</t>
        </is>
      </c>
      <c r="F29" s="13" t="inlineStr">
        <is>
          <t>High</t>
        </is>
      </c>
      <c r="G29" s="14" t="inlineStr">
        <is>
          <t>Completed</t>
        </is>
      </c>
      <c r="H29" s="11" t="inlineStr">
        <is>
          <t>Built /api/fees endpoints!</t>
        </is>
      </c>
    </row>
    <row r="30" ht="24" customHeight="1">
      <c r="A30" s="7" t="inlineStr">
        <is>
          <t>Phase 4: C++ REST API</t>
        </is>
      </c>
      <c r="B30" s="8" t="inlineStr">
        <is>
          <t>4.6</t>
        </is>
      </c>
      <c r="C30" s="7" t="inlineStr">
        <is>
          <t>Teacher Payroll REST Endpoints</t>
        </is>
      </c>
      <c r="D30" s="7" t="inlineStr">
        <is>
          <t>Build `GET /api/salaries`, `POST /api/salaries/generate`, `GET /api/salaries/payslip/:id`.</t>
        </is>
      </c>
      <c r="E30" s="7" t="inlineStr">
        <is>
          <t>REST API Design</t>
        </is>
      </c>
      <c r="F30" s="9" t="inlineStr">
        <is>
          <t>High</t>
        </is>
      </c>
      <c r="G30" s="10" t="inlineStr">
        <is>
          <t>Completed</t>
        </is>
      </c>
      <c r="H30" s="7" t="inlineStr">
        <is>
          <t>Built /api/salaries endpoints!</t>
        </is>
      </c>
    </row>
    <row r="31" ht="24" customHeight="1">
      <c r="A31" s="11" t="inlineStr">
        <is>
          <t>Phase 4: C++ REST API</t>
        </is>
      </c>
      <c r="B31" s="12" t="inlineStr">
        <is>
          <t>4.7</t>
        </is>
      </c>
      <c r="C31" s="11" t="inlineStr">
        <is>
          <t>Attendance &amp; Grades REST Endpoints</t>
        </is>
      </c>
      <c r="D31" s="11" t="inlineStr">
        <is>
          <t>Build `GET/POST /api/attendance` and `GET/POST /api/grades` endpoints.</t>
        </is>
      </c>
      <c r="E31" s="11" t="inlineStr">
        <is>
          <t>REST API Design</t>
        </is>
      </c>
      <c r="F31" s="13" t="inlineStr">
        <is>
          <t>High</t>
        </is>
      </c>
      <c r="G31" s="14" t="inlineStr">
        <is>
          <t>Completed</t>
        </is>
      </c>
      <c r="H31" s="11" t="inlineStr">
        <is>
          <t>Built /api/attendance &amp; /api/grades endpoints!</t>
        </is>
      </c>
    </row>
    <row r="32" ht="24" customHeight="1">
      <c r="A32" s="7" t="inlineStr">
        <is>
          <t>Phase 4: C++ REST API</t>
        </is>
      </c>
      <c r="B32" s="8" t="inlineStr">
        <is>
          <t>4.8</t>
        </is>
      </c>
      <c r="C32" s="7" t="inlineStr">
        <is>
          <t>Standardized Error Responses &amp; HTTP Statuses</t>
        </is>
      </c>
      <c r="D32" s="7" t="inlineStr">
        <is>
          <t>Ensure 200 OK, 201 Created, 400 Bad Request, 404 Not Found formatted as JSON.</t>
        </is>
      </c>
      <c r="E32" s="7" t="inlineStr">
        <is>
          <t>HTTP Error Standards</t>
        </is>
      </c>
      <c r="F32" s="16" t="inlineStr">
        <is>
          <t>Medium</t>
        </is>
      </c>
      <c r="G32" s="10" t="inlineStr">
        <is>
          <t>Completed</t>
        </is>
      </c>
      <c r="H32" s="7" t="inlineStr">
        <is>
          <t>Configured standardized HTTP responses!</t>
        </is>
      </c>
    </row>
    <row r="33" ht="24" customHeight="1">
      <c r="A33" s="11" t="inlineStr">
        <is>
          <t>Phase 5: React Frontend</t>
        </is>
      </c>
      <c r="B33" s="12" t="inlineStr">
        <is>
          <t>5.1</t>
        </is>
      </c>
      <c r="C33" s="11" t="inlineStr">
        <is>
          <t>Design System, Navigation &amp; Layout</t>
        </is>
      </c>
      <c r="D33" s="11" t="inlineStr">
        <is>
          <t>Create modern dark/light responsive layout: Sidebar, Header, Breadcrumbs, and content viewport.</t>
        </is>
      </c>
      <c r="E33" s="11" t="inlineStr">
        <is>
          <t>React, CSS Grid / Flexbox</t>
        </is>
      </c>
      <c r="F33" s="13" t="inlineStr">
        <is>
          <t>High</t>
        </is>
      </c>
      <c r="G33" s="14" t="inlineStr">
        <is>
          <t>Completed</t>
        </is>
      </c>
      <c r="H33" s="11" t="inlineStr">
        <is>
          <t>Built glassmorphism sidebar, tabs, and layout!</t>
        </is>
      </c>
    </row>
    <row r="34" ht="24" customHeight="1">
      <c r="A34" s="7" t="inlineStr">
        <is>
          <t>Phase 5: React Frontend</t>
        </is>
      </c>
      <c r="B34" s="8" t="inlineStr">
        <is>
          <t>5.2</t>
        </is>
      </c>
      <c r="C34" s="7" t="inlineStr">
        <is>
          <t>API Client Service Module (`api.js`)</t>
        </is>
      </c>
      <c r="D34" s="7" t="inlineStr">
        <is>
          <t>Build centralized API service using Fetch with baseURL, error parsing, and JSON support.</t>
        </is>
      </c>
      <c r="E34" s="7" t="inlineStr">
        <is>
          <t>Fetch API / REST</t>
        </is>
      </c>
      <c r="F34" s="9" t="inlineStr">
        <is>
          <t>High</t>
        </is>
      </c>
      <c r="G34" s="10" t="inlineStr">
        <is>
          <t>Completed</t>
        </is>
      </c>
      <c r="H34" s="7" t="inlineStr">
        <is>
          <t>Centralized API service in api.js with robust error parsing!</t>
        </is>
      </c>
    </row>
    <row r="35" ht="24" customHeight="1">
      <c r="A35" s="11" t="inlineStr">
        <is>
          <t>Phase 5: React Frontend</t>
        </is>
      </c>
      <c r="B35" s="12" t="inlineStr">
        <is>
          <t>5.3</t>
        </is>
      </c>
      <c r="C35" s="11" t="inlineStr">
        <is>
          <t>Dashboard Metrics &amp; Statistics Page</t>
        </is>
      </c>
      <c r="D35" s="11" t="inlineStr">
        <is>
          <t>Create KPI overview cards (Total Students, Total Fees Collected, Salaries Paid).</t>
        </is>
      </c>
      <c r="E35" s="11" t="inlineStr">
        <is>
          <t>React Hooks (useState, useEffect)</t>
        </is>
      </c>
      <c r="F35" s="13" t="inlineStr">
        <is>
          <t>High</t>
        </is>
      </c>
      <c r="G35" s="14" t="inlineStr">
        <is>
          <t>Completed</t>
        </is>
      </c>
      <c r="H35" s="11" t="inlineStr">
        <is>
          <t>Live KPI metrics updating in real time!</t>
        </is>
      </c>
    </row>
    <row r="36" ht="24" customHeight="1">
      <c r="A36" s="7" t="inlineStr">
        <is>
          <t>Phase 5: React Frontend</t>
        </is>
      </c>
      <c r="B36" s="8" t="inlineStr">
        <is>
          <t>5.4</t>
        </is>
      </c>
      <c r="C36" s="7" t="inlineStr">
        <is>
          <t>Student Directory &amp; Management Modal</t>
        </is>
      </c>
      <c r="D36" s="7" t="inlineStr">
        <is>
          <t>Data table with real-time search, filter by class, Add Student Modal with validation, and Delete.</t>
        </is>
      </c>
      <c r="E36" s="7" t="inlineStr">
        <is>
          <t>React Components, Controlled Forms</t>
        </is>
      </c>
      <c r="F36" s="9" t="inlineStr">
        <is>
          <t>High</t>
        </is>
      </c>
      <c r="G36" s="10" t="inlineStr">
        <is>
          <t>Completed</t>
        </is>
      </c>
      <c r="H36" s="7" t="inlineStr">
        <is>
          <t>Full directory with live search and delete!</t>
        </is>
      </c>
    </row>
    <row r="37" ht="24" customHeight="1">
      <c r="A37" s="11" t="inlineStr">
        <is>
          <t>Phase 5: React Frontend</t>
        </is>
      </c>
      <c r="B37" s="12" t="inlineStr">
        <is>
          <t>5.5</t>
        </is>
      </c>
      <c r="C37" s="11" t="inlineStr">
        <is>
          <t>Teacher Management Page</t>
        </is>
      </c>
      <c r="D37" s="11" t="inlineStr">
        <is>
          <t>Faculty profile cards, subject assignments, and add/edit teacher directory.</t>
        </is>
      </c>
      <c r="E37" s="11" t="inlineStr">
        <is>
          <t>React Components</t>
        </is>
      </c>
      <c r="F37" s="15" t="inlineStr">
        <is>
          <t>Medium</t>
        </is>
      </c>
      <c r="G37" s="14" t="inlineStr">
        <is>
          <t>Completed</t>
        </is>
      </c>
      <c r="H37" s="11" t="inlineStr">
        <is>
          <t>Faculty directory live with Supabase sync!</t>
        </is>
      </c>
    </row>
    <row r="38" ht="24" customHeight="1">
      <c r="A38" s="7" t="inlineStr">
        <is>
          <t>Phase 5: React Frontend</t>
        </is>
      </c>
      <c r="B38" s="8" t="inlineStr">
        <is>
          <t>5.6</t>
        </is>
      </c>
      <c r="C38" s="7" t="inlineStr">
        <is>
          <t>Student Fee Collection &amp; Receipt Generator</t>
        </is>
      </c>
      <c r="D38" s="7" t="inlineStr">
        <is>
          <t>Fee payment collection modal, live calculation of discount/fines, and printable official receipt slip.</t>
        </is>
      </c>
      <c r="E38" s="7" t="inlineStr">
        <is>
          <t>React Components / PDF Print</t>
        </is>
      </c>
      <c r="F38" s="9" t="inlineStr">
        <is>
          <t>High</t>
        </is>
      </c>
      <c r="G38" s="10" t="inlineStr">
        <is>
          <t>Completed</t>
        </is>
      </c>
      <c r="H38" s="7" t="inlineStr">
        <is>
          <t>Printable fee receipt slips working!</t>
        </is>
      </c>
    </row>
    <row r="39" ht="24" customHeight="1">
      <c r="A39" s="11" t="inlineStr">
        <is>
          <t>Phase 5: React Frontend</t>
        </is>
      </c>
      <c r="B39" s="12" t="inlineStr">
        <is>
          <t>5.7</t>
        </is>
      </c>
      <c r="C39" s="11" t="inlineStr">
        <is>
          <t>Teacher Payroll &amp; Salary Slip Generator</t>
        </is>
      </c>
      <c r="D39" s="11" t="inlineStr">
        <is>
          <t>Monthly salary generation matrix, earnings vs deductions calculation, and printable salary pay-slip.</t>
        </is>
      </c>
      <c r="E39" s="11" t="inlineStr">
        <is>
          <t>React Components / PDF Print</t>
        </is>
      </c>
      <c r="F39" s="13" t="inlineStr">
        <is>
          <t>High</t>
        </is>
      </c>
      <c r="G39" s="14" t="inlineStr">
        <is>
          <t>Completed</t>
        </is>
      </c>
      <c r="H39" s="11" t="inlineStr">
        <is>
          <t>Printable salary pay-slips working!</t>
        </is>
      </c>
    </row>
    <row r="40" ht="24" customHeight="1">
      <c r="A40" s="7" t="inlineStr">
        <is>
          <t>Phase 5: React Frontend</t>
        </is>
      </c>
      <c r="B40" s="8" t="inlineStr">
        <is>
          <t>5.8</t>
        </is>
      </c>
      <c r="C40" s="7" t="inlineStr">
        <is>
          <t>Attendance Roll-Call Tracker</t>
        </is>
      </c>
      <c r="D40" s="7" t="inlineStr">
        <is>
          <t>Daily student attendance marking checklist with batch toggle (Present/Absent/Late) and save.</t>
        </is>
      </c>
      <c r="E40" s="7" t="inlineStr">
        <is>
          <t>React State Management</t>
        </is>
      </c>
      <c r="F40" s="9" t="inlineStr">
        <is>
          <t>High</t>
        </is>
      </c>
      <c r="G40" s="10" t="inlineStr">
        <is>
          <t>Completed</t>
        </is>
      </c>
      <c r="H40" s="7" t="inlineStr">
        <is>
          <t>Attendance tracker module live!</t>
        </is>
      </c>
    </row>
    <row r="41" ht="24" customHeight="1">
      <c r="A41" s="11" t="inlineStr">
        <is>
          <t>Phase 5: React Frontend</t>
        </is>
      </c>
      <c r="B41" s="12" t="inlineStr">
        <is>
          <t>5.9</t>
        </is>
      </c>
      <c r="C41" s="11" t="inlineStr">
        <is>
          <t>Grades &amp; Report Card Viewer</t>
        </is>
      </c>
      <c r="D41" s="11" t="inlineStr">
        <is>
          <t>Subject marks entry form, calculated percentages/grades, and printable student report card.</t>
        </is>
      </c>
      <c r="E41" s="11" t="inlineStr">
        <is>
          <t>React Components</t>
        </is>
      </c>
      <c r="F41" s="13" t="inlineStr">
        <is>
          <t>High</t>
        </is>
      </c>
      <c r="G41" s="14" t="inlineStr">
        <is>
          <t>Completed</t>
        </is>
      </c>
      <c r="H41" s="11" t="inlineStr">
        <is>
          <t>Gradebook module live!</t>
        </is>
      </c>
    </row>
    <row r="42" ht="24" customHeight="1">
      <c r="A42" s="7" t="inlineStr">
        <is>
          <t>Phase 5: React Frontend</t>
        </is>
      </c>
      <c r="B42" s="8" t="inlineStr">
        <is>
          <t>5.10</t>
        </is>
      </c>
      <c r="C42" s="7" t="inlineStr">
        <is>
          <t>Excel Database Studio &amp; Multi-Sheet Manager</t>
        </is>
      </c>
      <c r="D42" s="7" t="inlineStr">
        <is>
          <t>Create multi-sheet workbooks, export DB to Excel, and bulk import 100+ to thousands of rows into Supabase with upsert.</t>
        </is>
      </c>
      <c r="E42" s="7" t="inlineStr">
        <is>
          <t>xlsx, Supabase PostgREST Upsert</t>
        </is>
      </c>
      <c r="F42" s="9" t="inlineStr">
        <is>
          <t>High</t>
        </is>
      </c>
      <c r="G42" s="10" t="inlineStr">
        <is>
          <t>Completed</t>
        </is>
      </c>
      <c r="H42" s="7" t="inlineStr">
        <is>
          <t>Bulk upload &amp; multi-sheet manager live!</t>
        </is>
      </c>
    </row>
    <row r="43" ht="24" customHeight="1">
      <c r="A43" s="11" t="inlineStr">
        <is>
          <t>Phase 6: Integration &amp; Polish</t>
        </is>
      </c>
      <c r="B43" s="12" t="inlineStr">
        <is>
          <t>6.1</t>
        </is>
      </c>
      <c r="C43" s="11" t="inlineStr">
        <is>
          <t>End-to-End Integration Testing</t>
        </is>
      </c>
      <c r="D43" s="11" t="inlineStr">
        <is>
          <t>Test complete lifecycle: React UI -&gt; C++ REST API -&gt; Supabase PostgreSQL DB -&gt; Instant UI refresh.</t>
        </is>
      </c>
      <c r="E43" s="11" t="inlineStr">
        <is>
          <t>E2E Testing &amp; Verification</t>
        </is>
      </c>
      <c r="F43" s="13" t="inlineStr">
        <is>
          <t>High</t>
        </is>
      </c>
      <c r="G43" s="14" t="inlineStr">
        <is>
          <t>Completed</t>
        </is>
      </c>
      <c r="H43" s="11" t="inlineStr">
        <is>
          <t>All 103+ records live and syncing across Dashboard &amp; Directory!</t>
        </is>
      </c>
    </row>
    <row r="44" ht="24" customHeight="1">
      <c r="A44" s="7" t="inlineStr">
        <is>
          <t>Phase 6: Integration &amp; Polish</t>
        </is>
      </c>
      <c r="B44" s="8" t="inlineStr">
        <is>
          <t>6.2</t>
        </is>
      </c>
      <c r="C44" s="7" t="inlineStr">
        <is>
          <t>Input Validation &amp; Latency Handling</t>
        </is>
      </c>
      <c r="D44" s="7" t="inlineStr">
        <is>
          <t>Form validation on frontend &amp; backend (prevent duplicate roll numbers, empty names, invalid emails).</t>
        </is>
      </c>
      <c r="E44" s="7" t="inlineStr">
        <is>
          <t>Data Integrity &amp; Validation</t>
        </is>
      </c>
      <c r="F44" s="16" t="inlineStr">
        <is>
          <t>Medium</t>
        </is>
      </c>
      <c r="G44" s="10" t="inlineStr">
        <is>
          <t>Completed</t>
        </is>
      </c>
      <c r="H44" s="7" t="inlineStr">
        <is>
          <t>Upsert resolution merge-duplicates enabled on all entities!</t>
        </is>
      </c>
    </row>
    <row r="45" ht="24" customHeight="1">
      <c r="A45" s="11" t="inlineStr">
        <is>
          <t>Phase 6: Integration &amp; Polish</t>
        </is>
      </c>
      <c r="B45" s="12" t="inlineStr">
        <is>
          <t>6.3</t>
        </is>
      </c>
      <c r="C45" s="11" t="inlineStr">
        <is>
          <t>Optional: Supabase Auth / Role-based Access</t>
        </is>
      </c>
      <c r="D45" s="11" t="inlineStr">
        <is>
          <t>Implement login screen for Admin vs Teacher vs Student with JWT authentication.</t>
        </is>
      </c>
      <c r="E45" s="11" t="inlineStr">
        <is>
          <t>Supabase Auth / JWT</t>
        </is>
      </c>
      <c r="F45" s="17" t="inlineStr">
        <is>
          <t>Optional</t>
        </is>
      </c>
      <c r="G45" s="18" t="inlineStr">
        <is>
          <t>Not Started</t>
        </is>
      </c>
      <c r="H45" s="11" t="inlineStr"/>
    </row>
    <row r="46" ht="24" customHeight="1">
      <c r="A46" s="7" t="inlineStr">
        <is>
          <t>Phase 6: Integration &amp; Polish</t>
        </is>
      </c>
      <c r="B46" s="8" t="inlineStr">
        <is>
          <t>6.4</t>
        </is>
      </c>
      <c r="C46" s="7" t="inlineStr">
        <is>
          <t>Optional: Export to CSV / PDF</t>
        </is>
      </c>
      <c r="D46" s="7" t="inlineStr">
        <is>
          <t>Export student fee ledger and teacher payroll summaries as CSV or printable PDF documents.</t>
        </is>
      </c>
      <c r="E46" s="7" t="inlineStr">
        <is>
          <t>File Exporting</t>
        </is>
      </c>
      <c r="F46" s="19" t="inlineStr">
        <is>
          <t>Optional</t>
        </is>
      </c>
      <c r="G46" s="10" t="inlineStr">
        <is>
          <t>Completed</t>
        </is>
      </c>
      <c r="H46" s="7" t="inlineStr">
        <is>
          <t>Multi-sheet Excel export active in Excel Studio!</t>
        </is>
      </c>
    </row>
  </sheetData>
  <mergeCells count="2">
    <mergeCell ref="A2:H2"/>
    <mergeCell ref="A1:H1"/>
  </mergeCells>
  <dataValidations count="2">
    <dataValidation sqref="G6:G46" showDropDown="0" showInputMessage="0" showErrorMessage="0" allowBlank="1" type="list">
      <formula1>"Not Started,In Progress,Completed,Blocked"</formula1>
    </dataValidation>
    <dataValidation sqref="F6:F46" showDropDown="0" showInputMessage="0" showErrorMessage="0" allowBlank="1" type="list">
      <formula1>"High,Medium,Optional"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32" customWidth="1" min="3" max="3"/>
    <col width="64" customWidth="1" min="4" max="4"/>
    <col width="38" customWidth="1" min="5" max="5"/>
  </cols>
  <sheetData>
    <row r="1" ht="40" customHeight="1">
      <c r="A1" s="20" t="inlineStr">
        <is>
          <t>🏛️ System Architecture &amp; Technology Breakdown</t>
        </is>
      </c>
    </row>
    <row r="3">
      <c r="A3" s="21" t="inlineStr">
        <is>
          <t>1. Full-Stack Layer Specification</t>
        </is>
      </c>
    </row>
    <row r="4" ht="26" customHeight="1">
      <c r="A4" s="22" t="inlineStr">
        <is>
          <t>Layer</t>
        </is>
      </c>
      <c r="B4" s="22" t="inlineStr">
        <is>
          <t>Technology / Library</t>
        </is>
      </c>
      <c r="C4" s="22" t="inlineStr">
        <is>
          <t>Role in System</t>
        </is>
      </c>
      <c r="D4" s="22" t="inlineStr">
        <is>
          <t>Key Learning Takeaways</t>
        </is>
      </c>
    </row>
    <row r="5" ht="24" customHeight="1">
      <c r="A5" s="11" t="inlineStr">
        <is>
          <t>Frontend UI</t>
        </is>
      </c>
      <c r="B5" s="11" t="inlineStr">
        <is>
          <t>React (Vite) + CSS3</t>
        </is>
      </c>
      <c r="C5" s="11" t="inlineStr">
        <is>
          <t>Modern responsive Single Page App</t>
        </is>
      </c>
      <c r="D5" s="11" t="inlineStr">
        <is>
          <t>Component structure, state hooks, props, responsive dashboards</t>
        </is>
      </c>
    </row>
    <row r="6" ht="24" customHeight="1">
      <c r="A6" s="7" t="inlineStr">
        <is>
          <t>API Client</t>
        </is>
      </c>
      <c r="B6" s="7" t="inlineStr">
        <is>
          <t>Fetch API / Axios</t>
        </is>
      </c>
      <c r="C6" s="7" t="inlineStr">
        <is>
          <t>HTTP client calling C++ backend</t>
        </is>
      </c>
      <c r="D6" s="7" t="inlineStr">
        <is>
          <t>Asynchronous promises, error interceptors, headers, CORS handling</t>
        </is>
      </c>
    </row>
    <row r="7" ht="24" customHeight="1">
      <c r="A7" s="11" t="inlineStr">
        <is>
          <t>Backend Core</t>
        </is>
      </c>
      <c r="B7" s="11" t="inlineStr">
        <is>
          <t>C++ (C++14 / C++17)</t>
        </is>
      </c>
      <c r="C7" s="11" t="inlineStr">
        <is>
          <t>High-performance business logic &amp; controllers</t>
        </is>
      </c>
      <c r="D7" s="11" t="inlineStr">
        <is>
          <t>Modern C++ memory management, smart pointers, structs, DAO pattern</t>
        </is>
      </c>
    </row>
    <row r="8" ht="24" customHeight="1">
      <c r="A8" s="7" t="inlineStr">
        <is>
          <t>HTTP Web Server</t>
        </is>
      </c>
      <c r="B8" s="7" t="inlineStr">
        <is>
          <t>cpp-httplib / WinSock2</t>
        </is>
      </c>
      <c r="C8" s="7" t="inlineStr">
        <is>
          <t>Lightweight C++ REST API Server</t>
        </is>
      </c>
      <c r="D8" s="7" t="inlineStr">
        <is>
          <t>HTTP routing, request dispatching, CORS headers, status codes</t>
        </is>
      </c>
    </row>
    <row r="9" ht="24" customHeight="1">
      <c r="A9" s="11" t="inlineStr">
        <is>
          <t>JSON Engine</t>
        </is>
      </c>
      <c r="B9" s="11" t="inlineStr">
        <is>
          <t>nlohmann/json</t>
        </is>
      </c>
      <c r="C9" s="11" t="inlineStr">
        <is>
          <t>JSON parsing &amp; serialization</t>
        </is>
      </c>
      <c r="D9" s="11" t="inlineStr">
        <is>
          <t>Modern C++ JSON manipulation, object serialization macros</t>
        </is>
      </c>
    </row>
    <row r="10" ht="24" customHeight="1">
      <c r="A10" s="7" t="inlineStr">
        <is>
          <t>Cloud Database</t>
        </is>
      </c>
      <c r="B10" s="7" t="inlineStr">
        <is>
          <t>Supabase (PostgreSQL 15+)</t>
        </is>
      </c>
      <c r="C10" s="7" t="inlineStr">
        <is>
          <t>Persistent relational storage in the cloud</t>
        </is>
      </c>
      <c r="D10" s="7" t="inlineStr">
        <is>
          <t>Relational database modeling, SQL DDL/DML, Foreign Keys, RLS</t>
        </is>
      </c>
    </row>
    <row r="11" ht="24" customHeight="1">
      <c r="A11" s="11" t="inlineStr">
        <is>
          <t>Receipt &amp; Slip Engine</t>
        </is>
      </c>
      <c r="B11" s="11" t="inlineStr">
        <is>
          <t>React Printable Slips</t>
        </is>
      </c>
      <c r="C11" s="11" t="inlineStr">
        <is>
          <t>Generate printable fee receipts and salary slips</t>
        </is>
      </c>
      <c r="D11" s="11" t="inlineStr">
        <is>
          <t>CSS @media print styling, calculated financial breakdowns</t>
        </is>
      </c>
    </row>
    <row r="14">
      <c r="A14" s="21" t="inlineStr">
        <is>
          <t>2. Complete Database Table Blueprint (All 8 Tables)</t>
        </is>
      </c>
    </row>
    <row r="15" ht="26" customHeight="1">
      <c r="A15" s="23" t="inlineStr">
        <is>
          <t>Table Name</t>
        </is>
      </c>
      <c r="B15" s="23" t="inlineStr">
        <is>
          <t>Primary Key</t>
        </is>
      </c>
      <c r="C15" s="23" t="inlineStr">
        <is>
          <t>Foreign Keys</t>
        </is>
      </c>
      <c r="D15" s="23" t="inlineStr">
        <is>
          <t>Key Columns</t>
        </is>
      </c>
      <c r="E15" s="23" t="inlineStr">
        <is>
          <t>Description</t>
        </is>
      </c>
    </row>
    <row r="16" ht="24" customHeight="1">
      <c r="A16" s="7" t="inlineStr">
        <is>
          <t>students</t>
        </is>
      </c>
      <c r="B16" s="7" t="inlineStr">
        <is>
          <t>id (BIGSERIAL PK)</t>
        </is>
      </c>
      <c r="C16" s="7" t="inlineStr">
        <is>
          <t>class_id -&gt; classes(id)</t>
        </is>
      </c>
      <c r="D16" s="7" t="inlineStr">
        <is>
          <t>roll_number (UNIQUE), first_name, last_name, email, phone, dob, created_at</t>
        </is>
      </c>
      <c r="E16" s="7" t="inlineStr">
        <is>
          <t>Student profiles and academic registration</t>
        </is>
      </c>
    </row>
    <row r="17" ht="24" customHeight="1">
      <c r="A17" s="11" t="inlineStr">
        <is>
          <t>teachers</t>
        </is>
      </c>
      <c r="B17" s="11" t="inlineStr">
        <is>
          <t>id (BIGSERIAL PK)</t>
        </is>
      </c>
      <c r="C17" s="11" t="inlineStr">
        <is>
          <t>None</t>
        </is>
      </c>
      <c r="D17" s="11" t="inlineStr">
        <is>
          <t>employee_id (UNIQUE), first_name, last_name, email, phone, qualification, created_at</t>
        </is>
      </c>
      <c r="E17" s="11" t="inlineStr">
        <is>
          <t>Faculty and staff details</t>
        </is>
      </c>
    </row>
    <row r="18" ht="24" customHeight="1">
      <c r="A18" s="7" t="inlineStr">
        <is>
          <t>classes</t>
        </is>
      </c>
      <c r="B18" s="7" t="inlineStr">
        <is>
          <t>id (BIGSERIAL PK)</t>
        </is>
      </c>
      <c r="C18" s="7" t="inlineStr">
        <is>
          <t>teacher_id -&gt; teachers(id)</t>
        </is>
      </c>
      <c r="D18" s="7" t="inlineStr">
        <is>
          <t>class_name, section, academic_year</t>
        </is>
      </c>
      <c r="E18" s="7" t="inlineStr">
        <is>
          <t>Classroom divisions (e.g. Grade 10 - Section A)</t>
        </is>
      </c>
    </row>
    <row r="19" ht="24" customHeight="1">
      <c r="A19" s="11" t="inlineStr">
        <is>
          <t>subjects</t>
        </is>
      </c>
      <c r="B19" s="11" t="inlineStr">
        <is>
          <t>id (BIGSERIAL PK)</t>
        </is>
      </c>
      <c r="C19" s="11" t="inlineStr">
        <is>
          <t>None</t>
        </is>
      </c>
      <c r="D19" s="11" t="inlineStr">
        <is>
          <t>subject_code (UNIQUE), subject_name, credits</t>
        </is>
      </c>
      <c r="E19" s="11" t="inlineStr">
        <is>
          <t>Courses taught in curriculum</t>
        </is>
      </c>
    </row>
    <row r="20" ht="24" customHeight="1">
      <c r="A20" s="7" t="inlineStr">
        <is>
          <t>attendance</t>
        </is>
      </c>
      <c r="B20" s="7" t="inlineStr">
        <is>
          <t>id (BIGSERIAL PK)</t>
        </is>
      </c>
      <c r="C20" s="7" t="inlineStr">
        <is>
          <t>student_id -&gt; students(id)</t>
        </is>
      </c>
      <c r="D20" s="7" t="inlineStr">
        <is>
          <t>date, status ('Present', 'Absent', 'Late'), remarks, created_at</t>
        </is>
      </c>
      <c r="E20" s="7" t="inlineStr">
        <is>
          <t>Daily attendance roll-call records</t>
        </is>
      </c>
    </row>
    <row r="21" ht="24" customHeight="1">
      <c r="A21" s="11" t="inlineStr">
        <is>
          <t>grades</t>
        </is>
      </c>
      <c r="B21" s="11" t="inlineStr">
        <is>
          <t>id (BIGSERIAL PK)</t>
        </is>
      </c>
      <c r="C21" s="11" t="inlineStr">
        <is>
          <t>student_id -&gt; students(id), subject_id -&gt; subjects(id)</t>
        </is>
      </c>
      <c r="D21" s="11" t="inlineStr">
        <is>
          <t>exam_term ('Midterm', 'Final'), marks_obtained, max_marks, remarks</t>
        </is>
      </c>
      <c r="E21" s="11" t="inlineStr">
        <is>
          <t>Subject examination marks and GPA records</t>
        </is>
      </c>
    </row>
    <row r="22" ht="24" customHeight="1">
      <c r="A22" s="7" t="inlineStr">
        <is>
          <t>student_fees</t>
        </is>
      </c>
      <c r="B22" s="7" t="inlineStr">
        <is>
          <t>id (BIGSERIAL PK)</t>
        </is>
      </c>
      <c r="C22" s="7" t="inlineStr">
        <is>
          <t>student_id -&gt; students(id)</t>
        </is>
      </c>
      <c r="D22" s="7" t="inlineStr">
        <is>
          <t>receipt_no (UNIQUE), gross_amount, discount_amount, late_fine, net_payable, amount_paid, balance_due, payment_status, payment_method</t>
        </is>
      </c>
      <c r="E22" s="7" t="inlineStr">
        <is>
          <t>Fee collection records and printable receipt generation</t>
        </is>
      </c>
    </row>
    <row r="23" ht="24" customHeight="1">
      <c r="A23" s="11" t="inlineStr">
        <is>
          <t>teacher_salaries</t>
        </is>
      </c>
      <c r="B23" s="11" t="inlineStr">
        <is>
          <t>id (BIGSERIAL PK)</t>
        </is>
      </c>
      <c r="C23" s="11" t="inlineStr">
        <is>
          <t>teacher_id -&gt; teachers(id)</t>
        </is>
      </c>
      <c r="D23" s="11" t="inlineStr">
        <is>
          <t>payslip_no (UNIQUE), salary_month, salary_year, basic_salary, hra, da, pf, tds, leave_deduction, gross_earnings, total_deductions, net_salary</t>
        </is>
      </c>
      <c r="E23" s="11" t="inlineStr">
        <is>
          <t>Payroll management and monthly teacher pay-slips</t>
        </is>
      </c>
    </row>
  </sheetData>
  <mergeCells count="3">
    <mergeCell ref="A14:E14"/>
    <mergeCell ref="A1:E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64" customWidth="1" min="3" max="3"/>
    <col width="36" customWidth="1" min="4" max="4"/>
  </cols>
  <sheetData>
    <row r="1" ht="40" customHeight="1">
      <c r="A1" s="24" t="inlineStr">
        <is>
          <t>💵 Student Fee Receipts &amp; Teacher Salary Pay-Slips Blueprint</t>
        </is>
      </c>
    </row>
    <row r="3">
      <c r="A3" s="25" t="inlineStr">
        <is>
          <t>1. Student Fee Slip / Receipt Data Structure</t>
        </is>
      </c>
    </row>
    <row r="4" ht="26" customHeight="1">
      <c r="A4" s="26" t="inlineStr">
        <is>
          <t>Field Name</t>
        </is>
      </c>
      <c r="B4" s="26" t="inlineStr">
        <is>
          <t>Data Type</t>
        </is>
      </c>
      <c r="C4" s="26" t="inlineStr">
        <is>
          <t>Role in Receipt Generation</t>
        </is>
      </c>
      <c r="D4" s="26" t="inlineStr">
        <is>
          <t>Example Receipt Value</t>
        </is>
      </c>
    </row>
    <row r="5" ht="22" customHeight="1">
      <c r="A5" s="11" t="inlineStr">
        <is>
          <t>receipt_no</t>
        </is>
      </c>
      <c r="B5" s="11" t="inlineStr">
        <is>
          <t>VARCHAR(50) UNIQUE</t>
        </is>
      </c>
      <c r="C5" s="11" t="inlineStr">
        <is>
          <t>Official Receipt Reference ID printed at top of slip</t>
        </is>
      </c>
      <c r="D5" s="11" t="inlineStr">
        <is>
          <t>REC-2026-00101</t>
        </is>
      </c>
    </row>
    <row r="6" ht="22" customHeight="1">
      <c r="A6" s="7" t="inlineStr">
        <is>
          <t>student_id</t>
        </is>
      </c>
      <c r="B6" s="7" t="inlineStr">
        <is>
          <t>BIGINT FK -&gt; students(id)</t>
        </is>
      </c>
      <c r="C6" s="7" t="inlineStr">
        <is>
          <t>Fetches Student Name, Roll No, Class, and Parent details</t>
        </is>
      </c>
      <c r="D6" s="7" t="inlineStr">
        <is>
          <t>1 (Alex Johnson - Grade 10A)</t>
        </is>
      </c>
    </row>
    <row r="7" ht="22" customHeight="1">
      <c r="A7" s="11" t="inlineStr">
        <is>
          <t>academic_year &amp; term_name</t>
        </is>
      </c>
      <c r="B7" s="11" t="inlineStr">
        <is>
          <t>VARCHAR(20), VARCHAR(50)</t>
        </is>
      </c>
      <c r="C7" s="11" t="inlineStr">
        <is>
          <t>Academic session and fee period</t>
        </is>
      </c>
      <c r="D7" s="11" t="inlineStr">
        <is>
          <t>2026-2027 / Term 1</t>
        </is>
      </c>
    </row>
    <row r="8" ht="22" customHeight="1">
      <c r="A8" s="7" t="inlineStr">
        <is>
          <t>fee_category</t>
        </is>
      </c>
      <c r="B8" s="7" t="inlineStr">
        <is>
          <t>VARCHAR(50)</t>
        </is>
      </c>
      <c r="C8" s="7" t="inlineStr">
        <is>
          <t>Head of Account / Purpose</t>
        </is>
      </c>
      <c r="D8" s="7" t="inlineStr">
        <is>
          <t>Tuition &amp; Laboratory Fee</t>
        </is>
      </c>
    </row>
    <row r="9" ht="22" customHeight="1">
      <c r="A9" s="11" t="inlineStr">
        <is>
          <t>gross_amount</t>
        </is>
      </c>
      <c r="B9" s="11" t="inlineStr">
        <is>
          <t>NUMERIC(10,2)</t>
        </is>
      </c>
      <c r="C9" s="11" t="inlineStr">
        <is>
          <t>Base fee amount before discounts or penalties</t>
        </is>
      </c>
      <c r="D9" s="11" t="inlineStr">
        <is>
          <t>₹ 30,000.00</t>
        </is>
      </c>
    </row>
    <row r="10" ht="22" customHeight="1">
      <c r="A10" s="7" t="inlineStr">
        <is>
          <t>discount_amount</t>
        </is>
      </c>
      <c r="B10" s="7" t="inlineStr">
        <is>
          <t>NUMERIC(10,2)</t>
        </is>
      </c>
      <c r="C10" s="7" t="inlineStr">
        <is>
          <t>Scholarship / sibling concession deducted</t>
        </is>
      </c>
      <c r="D10" s="7" t="inlineStr">
        <is>
          <t>₹ 2,000.00</t>
        </is>
      </c>
    </row>
    <row r="11" ht="22" customHeight="1">
      <c r="A11" s="11" t="inlineStr">
        <is>
          <t>late_fine</t>
        </is>
      </c>
      <c r="B11" s="11" t="inlineStr">
        <is>
          <t>NUMERIC(10,2)</t>
        </is>
      </c>
      <c r="C11" s="11" t="inlineStr">
        <is>
          <t>Late fee penalty added if paid after due date</t>
        </is>
      </c>
      <c r="D11" s="11" t="inlineStr">
        <is>
          <t>₹ 0.00</t>
        </is>
      </c>
    </row>
    <row r="12" ht="22" customHeight="1">
      <c r="A12" s="7" t="inlineStr">
        <is>
          <t>net_payable</t>
        </is>
      </c>
      <c r="B12" s="7" t="inlineStr">
        <is>
          <t>NUMERIC(10,2)</t>
        </is>
      </c>
      <c r="C12" s="7" t="inlineStr">
        <is>
          <t>Formula: (gross_amount - discount_amount + late_fine)</t>
        </is>
      </c>
      <c r="D12" s="7" t="inlineStr">
        <is>
          <t>₹ 28,000.00</t>
        </is>
      </c>
    </row>
    <row r="13" ht="22" customHeight="1">
      <c r="A13" s="11" t="inlineStr">
        <is>
          <t>amount_paid</t>
        </is>
      </c>
      <c r="B13" s="11" t="inlineStr">
        <is>
          <t>NUMERIC(10,2)</t>
        </is>
      </c>
      <c r="C13" s="11" t="inlineStr">
        <is>
          <t>Amount actually received from student/parent</t>
        </is>
      </c>
      <c r="D13" s="11" t="inlineStr">
        <is>
          <t>₹ 28,000.00</t>
        </is>
      </c>
    </row>
    <row r="14" ht="22" customHeight="1">
      <c r="A14" s="7" t="inlineStr">
        <is>
          <t>balance_due</t>
        </is>
      </c>
      <c r="B14" s="7" t="inlineStr">
        <is>
          <t>NUMERIC(10,2)</t>
        </is>
      </c>
      <c r="C14" s="7" t="inlineStr">
        <is>
          <t>Formula: (net_payable - amount_paid)</t>
        </is>
      </c>
      <c r="D14" s="7" t="inlineStr">
        <is>
          <t>₹ 0.00 (Fully Settled)</t>
        </is>
      </c>
    </row>
    <row r="15" ht="22" customHeight="1">
      <c r="A15" s="11" t="inlineStr">
        <is>
          <t>payment_status</t>
        </is>
      </c>
      <c r="B15" s="11" t="inlineStr">
        <is>
          <t>VARCHAR(20)</t>
        </is>
      </c>
      <c r="C15" s="11" t="inlineStr">
        <is>
          <t>Status indicator on receipt ('Paid', 'Partial', 'Overdue')</t>
        </is>
      </c>
      <c r="D15" s="11" t="inlineStr">
        <is>
          <t>Paid</t>
        </is>
      </c>
    </row>
    <row r="16" ht="22" customHeight="1">
      <c r="A16" s="7" t="inlineStr">
        <is>
          <t>payment_method &amp; transaction_ref</t>
        </is>
      </c>
      <c r="B16" s="7" t="inlineStr">
        <is>
          <t>VARCHAR(50), VARCHAR(100)</t>
        </is>
      </c>
      <c r="C16" s="7" t="inlineStr">
        <is>
          <t>Mode of payment (UPI/Card/Cash) &amp; Bank reference</t>
        </is>
      </c>
      <c r="D16" s="7" t="inlineStr">
        <is>
          <t>UPI / QR (Ref: UPI/20260901/7839210)</t>
        </is>
      </c>
    </row>
    <row r="17" ht="22" customHeight="1">
      <c r="A17" s="11" t="inlineStr">
        <is>
          <t>received_by &amp; payment_date</t>
        </is>
      </c>
      <c r="B17" s="11" t="inlineStr">
        <is>
          <t>VARCHAR(100), TIMESTAMP</t>
        </is>
      </c>
      <c r="C17" s="11" t="inlineStr">
        <is>
          <t>Cashier/Admin signature line &amp; payment timestamp</t>
        </is>
      </c>
      <c r="D17" s="11" t="inlineStr">
        <is>
          <t>Finance Desk 1 / Sep 05, 2026 11:30 AM</t>
        </is>
      </c>
    </row>
    <row r="19">
      <c r="A19" s="25" t="inlineStr">
        <is>
          <t>2. Teacher Salary Pay-Slip Data Structure</t>
        </is>
      </c>
    </row>
    <row r="20" ht="26" customHeight="1">
      <c r="A20" s="26" t="inlineStr">
        <is>
          <t>Field Name</t>
        </is>
      </c>
      <c r="B20" s="26" t="inlineStr">
        <is>
          <t>Data Type</t>
        </is>
      </c>
      <c r="C20" s="26" t="inlineStr">
        <is>
          <t>Role in Pay-Slip Generation</t>
        </is>
      </c>
      <c r="D20" s="26" t="inlineStr">
        <is>
          <t>Example Pay-Slip Value</t>
        </is>
      </c>
    </row>
    <row r="21" ht="22" customHeight="1">
      <c r="A21" s="11" t="inlineStr">
        <is>
          <t>payslip_no</t>
        </is>
      </c>
      <c r="B21" s="11" t="inlineStr">
        <is>
          <t>VARCHAR(50) UNIQUE</t>
        </is>
      </c>
      <c r="C21" s="11" t="inlineStr">
        <is>
          <t>Official Pay-Slip Reference ID printed on top right</t>
        </is>
      </c>
      <c r="D21" s="11" t="inlineStr">
        <is>
          <t>PAY-2026-AUG-01</t>
        </is>
      </c>
    </row>
    <row r="22" ht="22" customHeight="1">
      <c r="A22" s="7" t="inlineStr">
        <is>
          <t>teacher_id</t>
        </is>
      </c>
      <c r="B22" s="7" t="inlineStr">
        <is>
          <t>BIGINT FK -&gt; teachers(id)</t>
        </is>
      </c>
      <c r="C22" s="7" t="inlineStr">
        <is>
          <t>Fetches Teacher Name, Employee ID, Subject &amp; Designation</t>
        </is>
      </c>
      <c r="D22" s="7" t="inlineStr">
        <is>
          <t>1 (Robert Miller - Mathematics)</t>
        </is>
      </c>
    </row>
    <row r="23" ht="22" customHeight="1">
      <c r="A23" s="11" t="inlineStr">
        <is>
          <t>salary_month &amp; salary_year</t>
        </is>
      </c>
      <c r="B23" s="11" t="inlineStr">
        <is>
          <t>VARCHAR(20), INT</t>
        </is>
      </c>
      <c r="C23" s="11" t="inlineStr">
        <is>
          <t>Salary pay period</t>
        </is>
      </c>
      <c r="D23" s="11" t="inlineStr">
        <is>
          <t>August 2026</t>
        </is>
      </c>
    </row>
    <row r="24" ht="22" customHeight="1">
      <c r="A24" s="7" t="inlineStr">
        <is>
          <t>working_days &amp; leaves_taken</t>
        </is>
      </c>
      <c r="B24" s="7" t="inlineStr">
        <is>
          <t>INT, INT</t>
        </is>
      </c>
      <c r="C24" s="7" t="inlineStr">
        <is>
          <t>Attendance section: Working days vs Present vs Unpaid Leaves</t>
        </is>
      </c>
      <c r="D24" s="7" t="inlineStr">
        <is>
          <t>31 Days Worked / 0 Leaves</t>
        </is>
      </c>
    </row>
    <row r="25" ht="22" customHeight="1">
      <c r="A25" s="11" t="inlineStr">
        <is>
          <t>basic_salary (Earnings)</t>
        </is>
      </c>
      <c r="B25" s="11" t="inlineStr">
        <is>
          <t>NUMERIC(10,2)</t>
        </is>
      </c>
      <c r="C25" s="11" t="inlineStr">
        <is>
          <t>Base contract salary</t>
        </is>
      </c>
      <c r="D25" s="11" t="inlineStr">
        <is>
          <t>₹ 45,000.00</t>
        </is>
      </c>
    </row>
    <row r="26" ht="22" customHeight="1">
      <c r="A26" s="7" t="inlineStr">
        <is>
          <t>hra_allowance (Earnings)</t>
        </is>
      </c>
      <c r="B26" s="7" t="inlineStr">
        <is>
          <t>NUMERIC(10,2)</t>
        </is>
      </c>
      <c r="C26" s="7" t="inlineStr">
        <is>
          <t>House Rent Allowance</t>
        </is>
      </c>
      <c r="D26" s="7" t="inlineStr">
        <is>
          <t>₹ 12,000.00</t>
        </is>
      </c>
    </row>
    <row r="27" ht="22" customHeight="1">
      <c r="A27" s="11" t="inlineStr">
        <is>
          <t>da_allowance (Earnings)</t>
        </is>
      </c>
      <c r="B27" s="11" t="inlineStr">
        <is>
          <t>NUMERIC(10,2)</t>
        </is>
      </c>
      <c r="C27" s="11" t="inlineStr">
        <is>
          <t>Dearness Allowance</t>
        </is>
      </c>
      <c r="D27" s="11" t="inlineStr">
        <is>
          <t>₹ 8,000.00</t>
        </is>
      </c>
    </row>
    <row r="28" ht="22" customHeight="1">
      <c r="A28" s="7" t="inlineStr">
        <is>
          <t>medical &amp; special_bonus (Earnings)</t>
        </is>
      </c>
      <c r="B28" s="7" t="inlineStr">
        <is>
          <t>NUMERIC(10,2)</t>
        </is>
      </c>
      <c r="C28" s="7" t="inlineStr">
        <is>
          <t>Medical allowance and performance bonus</t>
        </is>
      </c>
      <c r="D28" s="7" t="inlineStr">
        <is>
          <t>₹ 3,000.00 + ₹ 2,000.00</t>
        </is>
      </c>
    </row>
    <row r="29" ht="22" customHeight="1">
      <c r="A29" s="11" t="inlineStr">
        <is>
          <t>gross_earnings</t>
        </is>
      </c>
      <c r="B29" s="11" t="inlineStr">
        <is>
          <t>NUMERIC(10,2)</t>
        </is>
      </c>
      <c r="C29" s="11" t="inlineStr">
        <is>
          <t>Total Gross Earnings = Basic + HRA + DA + Medical + Bonus</t>
        </is>
      </c>
      <c r="D29" s="11" t="inlineStr">
        <is>
          <t>₹ 70,000.00</t>
        </is>
      </c>
    </row>
    <row r="30" ht="22" customHeight="1">
      <c r="A30" s="7" t="inlineStr">
        <is>
          <t>provident_fund (Deductions)</t>
        </is>
      </c>
      <c r="B30" s="7" t="inlineStr">
        <is>
          <t>NUMERIC(10,2)</t>
        </is>
      </c>
      <c r="C30" s="7" t="inlineStr">
        <is>
          <t>PF retirement contribution deduction</t>
        </is>
      </c>
      <c r="D30" s="7" t="inlineStr">
        <is>
          <t>₹ 4,000.00</t>
        </is>
      </c>
    </row>
    <row r="31" ht="22" customHeight="1">
      <c r="A31" s="11" t="inlineStr">
        <is>
          <t>tax_deducted_tds (Deductions)</t>
        </is>
      </c>
      <c r="B31" s="11" t="inlineStr">
        <is>
          <t>NUMERIC(10,2)</t>
        </is>
      </c>
      <c r="C31" s="11" t="inlineStr">
        <is>
          <t>Income Tax TDS deduction</t>
        </is>
      </c>
      <c r="D31" s="11" t="inlineStr">
        <is>
          <t>₹ 2,500.00</t>
        </is>
      </c>
    </row>
    <row r="32" ht="22" customHeight="1">
      <c r="A32" s="7" t="inlineStr">
        <is>
          <t>leave_deduction (Deductions)</t>
        </is>
      </c>
      <c r="B32" s="7" t="inlineStr">
        <is>
          <t>NUMERIC(10,2)</t>
        </is>
      </c>
      <c r="C32" s="7" t="inlineStr">
        <is>
          <t>Salary deducted for unpaid absence</t>
        </is>
      </c>
      <c r="D32" s="7" t="inlineStr">
        <is>
          <t>₹ 0.00</t>
        </is>
      </c>
    </row>
    <row r="33" ht="22" customHeight="1">
      <c r="A33" s="11" t="inlineStr">
        <is>
          <t>total_deductions</t>
        </is>
      </c>
      <c r="B33" s="11" t="inlineStr">
        <is>
          <t>NUMERIC(10,2)</t>
        </is>
      </c>
      <c r="C33" s="11" t="inlineStr">
        <is>
          <t>Total Deductions = PF + TDS + Leave Deductions</t>
        </is>
      </c>
      <c r="D33" s="11" t="inlineStr">
        <is>
          <t>₹ 6,500.00</t>
        </is>
      </c>
    </row>
    <row r="34" ht="22" customHeight="1">
      <c r="A34" s="7" t="inlineStr">
        <is>
          <t>net_salary</t>
        </is>
      </c>
      <c r="B34" s="7" t="inlineStr">
        <is>
          <t>NUMERIC(10,2)</t>
        </is>
      </c>
      <c r="C34" s="7" t="inlineStr">
        <is>
          <t>Net Take-Home Pay = (Gross Earnings - Total Deductions)</t>
        </is>
      </c>
      <c r="D34" s="7" t="inlineStr">
        <is>
          <t>₹ 63,500.00</t>
        </is>
      </c>
    </row>
    <row r="35" ht="22" customHeight="1">
      <c r="A35" s="11" t="inlineStr">
        <is>
          <t>payment_method &amp; bank_account_last4</t>
        </is>
      </c>
      <c r="B35" s="11" t="inlineStr">
        <is>
          <t>VARCHAR(50), VARCHAR(10)</t>
        </is>
      </c>
      <c r="C35" s="11" t="inlineStr">
        <is>
          <t>Bank transfer method &amp; masked account number</t>
        </is>
      </c>
      <c r="D35" s="11" t="inlineStr">
        <is>
          <t>Direct Bank Transfer (A/C: XXXX-5678)</t>
        </is>
      </c>
    </row>
    <row r="36" ht="22" customHeight="1">
      <c r="A36" s="7" t="inlineStr">
        <is>
          <t>transaction_ref &amp; payment_date</t>
        </is>
      </c>
      <c r="B36" s="7" t="inlineStr">
        <is>
          <t>VARCHAR(100), TIMESTAMP</t>
        </is>
      </c>
      <c r="C36" s="7" t="inlineStr">
        <is>
          <t>Bank NEFT/RTGS transaction ID &amp; payment timestamp</t>
        </is>
      </c>
      <c r="D36" s="7" t="inlineStr">
        <is>
          <t>NEFT-HDFC-99887711 / Aug 31, 2026</t>
        </is>
      </c>
    </row>
  </sheetData>
  <mergeCells count="3">
    <mergeCell ref="A1:D1"/>
    <mergeCell ref="A3:D3"/>
    <mergeCell ref="A19:D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00" customWidth="1" min="2" max="2"/>
  </cols>
  <sheetData>
    <row r="1" ht="40" customHeight="1">
      <c r="A1" s="27" t="inlineStr">
        <is>
          <t>⚡ Complete Executable SQL Scripts for Supabase SQL Editor</t>
        </is>
      </c>
    </row>
    <row r="3" ht="26" customHeight="1">
      <c r="A3" s="28" t="inlineStr">
        <is>
          <t>Section</t>
        </is>
      </c>
      <c r="B3" s="28" t="inlineStr">
        <is>
          <t>SQL DDL &amp; DML Code (Run in Supabase Dashboard -&gt; SQL Editor)</t>
        </is>
      </c>
    </row>
    <row r="4" ht="200" customHeight="1">
      <c r="A4" s="29" t="inlineStr">
        <is>
          <t>1. Core Tables DDL (Teachers, Classes, Students, Subjects, Attendance, Grades)</t>
        </is>
      </c>
      <c r="B4" s="30" t="inlineStr">
        <is>
          <t>-- 1. Create Teachers Table
CREATE TABLE IF NOT EXISTS teachers (
    id BIGSERIAL PRIMARY KEY,
    employee_id VARCHAR(50) UNIQUE NOT NULL,
    first_name VARCHAR(100) NOT NULL,
    last_name VARCHAR(100) NOT NULL,
    email VARCHAR(150) UNIQUE NOT NULL,
    phone VARCHAR(20),
    qualification VARCHAR(100),
    created_at TIMESTAMP WITH TIME ZONE DEFAULT NOW()
);
-- 2. Create Classes Table
CREATE TABLE IF NOT EXISTS classes (
    id BIGSERIAL PRIMARY KEY,
    class_name VARCHAR(50) NOT NULL,
    section VARCHAR(10) NOT NULL,
    teacher_id BIGINT REFERENCES teachers(id) ON DELETE SET NULL,
    academic_year VARCHAR(20) NOT NULL DEFAULT '2026-2027',
    created_at TIMESTAMP WITH TIME ZONE DEFAULT NOW(),
    UNIQUE(class_name, section, academic_year)
);
-- 3. Create Students Table
CREATE TABLE IF NOT EXISTS students (
    id BIGSERIAL PRIMARY KEY,
    roll_number VARCHAR(50) UNIQUE NOT NULL,
    first_name VARCHAR(100) NOT NULL,
    last_name VARCHAR(100) NOT NULL,
    email VARCHAR(150) UNIQUE NOT NULL,
    phone VARCHAR(20),
    dob DATE,
    class_id BIGINT REFERENCES classes(id) ON DELETE SET NULL,
    enrollment_date DATE DEFAULT CURRENT_DATE,
    created_at TIMESTAMP WITH TIME ZONE DEFAULT NOW()
);
-- 4. Create Subjects Table
CREATE TABLE IF NOT EXISTS subjects (
    id BIGSERIAL PRIMARY KEY,
    subject_code VARCHAR(20) UNIQUE NOT NULL,
    subject_name VARCHAR(100) NOT NULL,
    credits INT DEFAULT 3
);
-- 5. Create Attendance Table
CREATE TABLE IF NOT EXISTS attendance (
    id BIGSERIAL PRIMARY KEY,
    student_id BIGINT NOT NULL REFERENCES students(id) ON DELETE CASCADE,
    date DATE NOT NULL DEFAULT CURRENT_DATE,
    status VARCHAR(20) CHECK (status IN ('Present', 'Absent', 'Late')),
    remarks VARCHAR(255),
    created_at TIMESTAMP WITH TIME ZONE DEFAULT NOW(),
    UNIQUE(student_id, date)
);
-- 6. Create Grades Table
CREATE TABLE IF NOT EXISTS grades (
    id BIGSERIAL PRIMARY KEY,
    student_id BIGINT NOT NULL REFERENCES students(id) ON DELETE CASCADE,
    subject_id BIGINT NOT NULL REFERENCES subjects(id) ON DELETE CASCADE,
    exam_term VARCHAR(50) NOT NULL,
    marks_obtained NUMERIC(5,2) NOT NULL,
    max_marks NUMERIC(5,2) NOT NULL DEFAULT 100.00,
    remarks VARCHAR(255),
    created_at TIMESTAMP WITH TIME ZONE DEFAULT NOW()
);</t>
        </is>
      </c>
    </row>
    <row r="5" ht="200" customHeight="1">
      <c r="A5" s="29" t="inlineStr">
        <is>
          <t>2. Fees &amp; Salary Slips DDL (student_fees, teacher_salaries)</t>
        </is>
      </c>
      <c r="B5" s="30" t="inlineStr">
        <is>
          <t>-- 7. Create Student Fee Receipts Table
CREATE TABLE IF NOT EXISTS student_fees (
    id BIGSERIAL PRIMARY KEY,
    receipt_no VARCHAR(50) UNIQUE NOT NULL,
    student_id BIGINT NOT NULL REFERENCES students(id) ON DELETE CASCADE,
    academic_year VARCHAR(20) NOT NULL DEFAULT '2026-2027',
    term_name VARCHAR(50) NOT NULL DEFAULT 'Term 1',
    fee_category VARCHAR(50) NOT NULL,
    gross_amount NUMERIC(10,2) NOT NULL,
    discount_amount NUMERIC(10,2) DEFAULT 0.00,
    late_fine NUMERIC(10,2) DEFAULT 0.00,
    net_payable NUMERIC(10,2) NOT NULL,
    amount_paid NUMERIC(10,2) NOT NULL DEFAULT 0.00,
    balance_due NUMERIC(10,2) NOT NULL,
    payment_status VARCHAR(20) CHECK (payment_status IN ('Paid', 'Partial', 'Pending', 'Overdue')) DEFAULT 'Pending',
    payment_method VARCHAR(50),
    transaction_ref VARCHAR(100),
    due_date DATE NOT NULL,
    payment_date TIMESTAMP WITH TIME ZONE,
    received_by VARCHAR(100) DEFAULT 'Admin Office',
    notes VARCHAR(255),
    created_at TIMESTAMP WITH TIME ZONE DEFAULT NOW()
);
-- 8. Create Teacher Salary Pay-Slips Table
CREATE TABLE IF NOT EXISTS teacher_salaries (
    id BIGSERIAL PRIMARY KEY,
    payslip_no VARCHAR(50) UNIQUE NOT NULL,
    teacher_id BIGINT NOT NULL REFERENCES teachers(id) ON DELETE CASCADE,
    salary_month VARCHAR(20) NOT NULL,
    salary_year INT NOT NULL DEFAULT 2026,
    total_working_days INT NOT NULL DEFAULT 30,
    days_present INT NOT NULL DEFAULT 30,
    leaves_taken INT NOT NULL DEFAULT 0,
    basic_salary NUMERIC(10,2) NOT NULL,
    hra_allowance NUMERIC(10,2) DEFAULT 0.00,
    da_allowance NUMERIC(10,2) DEFAULT 0.00,
    medical_allowance NUMERIC(10,2) DEFAULT 0.00,
    special_bonus NUMERIC(10,2) DEFAULT 0.00,
    gross_earnings NUMERIC(10,2) NOT NULL,
    provident_fund NUMERIC(10,2) DEFAULT 0.00,
    tax_deducted_tds NUMERIC(10,2) DEFAULT 0.00,
    leave_deduction NUMERIC(10,2) DEFAULT 0.00,
    total_deductions NUMERIC(10,2) NOT NULL,
    net_salary NUMERIC(10,2) NOT NULL,
    payment_status VARCHAR(20) CHECK (payment_status IN ('Paid', 'Pending', 'Processing')) DEFAULT 'Pending',
    payment_method VARCHAR(50) DEFAULT 'Direct Bank Transfer',
    bank_account_last4 VARCHAR(10),
    payment_date TIMESTAMP WITH TIME ZONE,
    transaction_ref VARCHAR(100),
    created_at TIMESTAMP WITH TIME ZONE DEFAULT NOW(),
    UNIQUE(teacher_id, salary_month, salary_year)
);</t>
        </is>
      </c>
    </row>
    <row r="6" ht="200" customHeight="1">
      <c r="A6" s="29" t="inlineStr">
        <is>
          <t>3. Seed Demo Data (Students, Teachers, Classes, Fees, Salaries)</t>
        </is>
      </c>
      <c r="B6" s="30" t="inlineStr">
        <is>
          <t>-- Seed Sample Teachers &amp; Classes
INSERT INTO teachers (employee_id, first_name, last_name, email, phone, qualification) VALUES
('TCH-001', 'Robert', 'Miller', 'robert.miller@school.edu', '555-0101', 'M.Sc. Mathematics'),
('TCH-002', 'Sarah', 'Connor', 'sarah.connor@school.edu', '555-0102', 'Ph.D. Physics'),
('TCH-003', 'Emily', 'Davis', 'emily.davis@school.edu', '555-0103', 'M.A. English')
ON CONFLICT (employee_id) DO NOTHING;
INSERT INTO classes (class_name, section, teacher_id, academic_year) VALUES
('Grade 10', 'A', 1, '2026-2027'),
('Grade 10', 'B', 2, '2026-2027'),
('Grade 11', 'A', 3, '2026-2027')
ON CONFLICT (class_name, section, academic_year) DO NOTHING;
-- Seed Sample Students
INSERT INTO students (roll_number, first_name, last_name, email, phone, dob, class_id) VALUES
('STU-1001', 'Alex', 'Johnson', 'alex.j@student.edu', '555-1101', '2008-04-12', 1),
('STU-1002', 'Sophia', 'Williams', 'sophia.w@student.edu', '555-1102', '2008-09-21', 1),
('STU-1003', 'Liam', 'Brown', 'liam.b@student.edu', '555-1103', '2008-01-15', 2),
('STU-1004', 'Emma', 'Jones', 'emma.j@student.edu', '555-1104', '2008-07-30', 2)
ON CONFLICT (roll_number) DO NOTHING;
-- Seed Sample Fee Receipts
INSERT INTO student_fees 
(receipt_no, student_id, academic_year, term_name, fee_category, gross_amount, discount_amount, late_fine, net_payable, amount_paid, balance_due, payment_status, payment_method, transaction_ref, due_date, payment_date, received_by)
VALUES
('REC-2026-001', 1, '2026-2027', 'Term 1', 'Tuition &amp; Lab Fee', 30000.00, 2000.00, 0.00, 28000.00, 28000.00, 0.00, 'Paid', 'UPI / QR', 'UPI/20260901/7839210', '2026-09-10', '2026-09-05 11:30:00+00', 'Finance Desk 1'),
('REC-2026-002', 2, '2026-2027', 'Term 1', 'Tuition &amp; Lab Fee', 30000.00, 0.00, 0.00, 30000.00, 15000.00, 15000.00, 'Partial', 'Debit/Credit Card', 'CARD-TXN-99881', '2026-09-10', '2026-09-08 14:15:00+00', 'Finance Desk 2'),
('REC-2026-003', 3, '2026-2027', 'Term 1', 'Tuition &amp; Transport', 35000.00, 0.00, 500.00, 35500.00, 0.00, 35500.00, 'Overdue', NULL, NULL, '2026-09-01', NULL, 'Finance Desk 1')
ON CONFLICT (receipt_no) DO NOTHING;
-- Seed Sample Teacher Salary Pay-Slips
INSERT INTO teacher_salaries
(payslip_no, teacher_id, salary_month, salary_year, total_working_days, days_present, leaves_taken, basic_salary, hra_allowance, da_allowance, medical_allowance, special_bonus, gross_earnings, provident_fund, tax_deducted_tds, leave_deduction, total_deductions, net_salary, payment_status, payment_method, bank_account_last4, payment_date, transaction_ref)
VALUES
('PAY-2026-AUG-01', 1, 'August', 2026, 31, 31, 0, 45000.00, 12000.00, 8000.00, 3000.00, 2000.00, 70000.00, 4000.00, 2500.00, 0.00, 6500.00, 63500.00, 'Paid', 'Direct Bank Transfer', '5678', '2026-08-31 10:00:00+00', 'NEFT-HDFC-99887711'),
('PAY-2026-AUG-02', 2, 'August', 2026, 31, 30, 1, 50000.00, 15000.00, 9000.00, 3000.00, 0.00, 77000.00, 4500.00, 3200.00, 1000.00, 8700.00, 68300.00, 'Paid', 'Direct Bank Transfer', '9012', '2026-08-31 10:00:00+00', 'NEFT-SBI-44556622')
ON CONFLICT (teacher_id, salary_month, salary_year) DO NOTHING;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44" customWidth="1" min="3" max="3"/>
    <col width="48" customWidth="1" min="4" max="4"/>
    <col width="34" customWidth="1" min="5" max="5"/>
    <col width="34" customWidth="1" min="6" max="6"/>
  </cols>
  <sheetData>
    <row r="1" ht="40" customHeight="1">
      <c r="A1" s="1" t="inlineStr">
        <is>
          <t>🔐 Role-Based Access Control (RBAC) &amp; Multi-Role Authentication Plan</t>
        </is>
      </c>
    </row>
    <row r="2" ht="24" customHeight="1">
      <c r="A2" s="31" t="inlineStr">
        <is>
          <t>Secure Login System: Student Personal Portal • Teacher Evaluation &amp; Payroll Portal • Admin Master Console</t>
        </is>
      </c>
    </row>
    <row r="3" ht="18" customHeight="1">
      <c r="A3" s="3" t="inlineStr">
        <is>
          <t>Total User Roles</t>
        </is>
      </c>
      <c r="B3" s="3" t="inlineStr">
        <is>
          <t>Student Portal Scope</t>
        </is>
      </c>
      <c r="C3" s="3" t="inlineStr">
        <is>
          <t>Teacher Portal Scope</t>
        </is>
      </c>
      <c r="D3" s="3" t="inlineStr">
        <is>
          <t>Admin Console Scope</t>
        </is>
      </c>
      <c r="E3" s="3" t="inlineStr">
        <is>
          <t>Security Model</t>
        </is>
      </c>
      <c r="F3" s="3" t="inlineStr">
        <is>
          <t>Status</t>
        </is>
      </c>
    </row>
    <row r="4" ht="24" customHeight="1">
      <c r="A4" s="32" t="inlineStr">
        <is>
          <t>3 Distinct Roles</t>
        </is>
      </c>
      <c r="B4" s="32" t="inlineStr">
        <is>
          <t>Own Fees, Grades, Attendance &amp; Timetable</t>
        </is>
      </c>
      <c r="C4" s="32" t="inlineStr">
        <is>
          <t>Own Salary, Student Remarks (No Add/Remove)</t>
        </is>
      </c>
      <c r="D4" s="32" t="inlineStr">
        <is>
          <t>Full System Master Control</t>
        </is>
      </c>
      <c r="E4" s="32" t="inlineStr">
        <is>
          <t>Role-Based Token / Session RBAC</t>
        </is>
      </c>
      <c r="F4" s="32" t="inlineStr">
        <is>
          <t>Planned &amp; Ready</t>
        </is>
      </c>
    </row>
    <row r="6">
      <c r="A6" s="33" t="inlineStr">
        <is>
          <t>1. Role Permissions &amp; Feature Access Matrix (RBAC)</t>
        </is>
      </c>
    </row>
    <row r="7" ht="26" customHeight="1">
      <c r="A7" s="34" t="inlineStr">
        <is>
          <t>Portal / User Role</t>
        </is>
      </c>
      <c r="B7" s="34" t="inlineStr">
        <is>
          <t>Authentication Method</t>
        </is>
      </c>
      <c r="C7" s="34" t="inlineStr">
        <is>
          <t>Permitted Features &amp; Data Scope</t>
        </is>
      </c>
      <c r="D7" s="34" t="inlineStr">
        <is>
          <t>Restricted / Forbidden Actions</t>
        </is>
      </c>
      <c r="E7" s="34" t="inlineStr">
        <is>
          <t>Navigation Items Available</t>
        </is>
      </c>
      <c r="F7" s="34" t="inlineStr">
        <is>
          <t>Database Data Security Filter</t>
        </is>
      </c>
    </row>
    <row r="8" ht="80" customHeight="1">
      <c r="A8" s="35" t="inlineStr">
        <is>
          <t>Student Portal
(role: 'student')</t>
        </is>
      </c>
      <c r="B8" s="36" t="inlineStr">
        <is>
          <t>Username / Roll Number + Password
(FK: student_id)</t>
        </is>
      </c>
      <c r="C8" s="36" t="inlineStr">
        <is>
          <t>• View own fee receipts &amp; installment payment history
• Check current outstanding fee balance
• View own semester grades, report card &amp; marks
• Track personal daily attendance &amp; percentage
• View weekly class timetable &amp; assigned subject faculty</t>
        </is>
      </c>
      <c r="D8" s="36" t="inlineStr">
        <is>
          <t>• CANNOT view other students' records or fees
• CANNOT modify, delete, or create any record
• CANNOT view faculty payroll, salaries, or admissions
• Strictly Read-Only personal dashboard</t>
        </is>
      </c>
      <c r="E8" s="36" t="inlineStr">
        <is>
          <t>1. My Overview / Profile
2. My Fee Receipts &amp; Dues
3. My Grades &amp; Report Card
4. My Attendance Records
5. Class Timetable &amp; Teachers</t>
        </is>
      </c>
      <c r="F8" s="36" t="inlineStr">
        <is>
          <t>WHERE student_id = :authenticated_student_id
(Enforced at API and Database query level)</t>
        </is>
      </c>
    </row>
    <row r="9" ht="80" customHeight="1">
      <c r="A9" s="37" t="inlineStr">
        <is>
          <t>Faculty / Teacher Portal
(role: 'teacher')</t>
        </is>
      </c>
      <c r="B9" s="38" t="inlineStr">
        <is>
          <t>Employee ID / Email + Password
(FK: teacher_id)</t>
        </is>
      </c>
      <c r="C9" s="38" t="inlineStr">
        <is>
          <t>• View own monthly salary pay-slips &amp; annual payroll ledger
• View assigned students directory (roll no, name, class)
• Enter &amp; update student progress remarks / feedback
• View personal teaching schedule &amp; assigned classes
• Check student attendance in assigned classes</t>
        </is>
      </c>
      <c r="D9" s="38" t="inlineStr">
        <is>
          <t>• CANNOT add, enroll, or remove/delete students
• CANNOT modify student fees or collect payments
• CANNOT view other teachers' salaries
• CANNOT access Excel Database Studio or system configs</t>
        </is>
      </c>
      <c r="E9" s="38" t="inlineStr">
        <is>
          <t>1. Faculty Dashboard
2. My Salary Pay-Slips
3. Assigned Students Directory
4. Student Progress Remarks
5. My Teaching Schedule</t>
        </is>
      </c>
      <c r="F9" s="38" t="inlineStr">
        <is>
          <t>WHERE teacher_id = :authenticated_teacher_id (for salaries)
WHERE class_id IN (teacher_classes) (for students)</t>
        </is>
      </c>
    </row>
    <row r="10" ht="80" customHeight="1">
      <c r="A10" s="35" t="inlineStr">
        <is>
          <t>Administrator Console
(role: 'admin')</t>
        </is>
      </c>
      <c r="B10" s="36" t="inlineStr">
        <is>
          <t>Admin Username / Email + Password
(Superuser privileges)</t>
        </is>
      </c>
      <c r="C10" s="36" t="inlineStr">
        <is>
          <t>• Complete master management across entire school
• Student directory: Add, edit, bulk import, delete
• Faculty directory: Add, manage, assign classes
• Fee collection: Multi-installment receipts &amp; slips
• Payroll processing: Disburse monthly faculty salaries
• Excel Database Studio: 1-click bulk import &amp; export</t>
        </is>
      </c>
      <c r="D10" s="36" t="inlineStr">
        <is>
          <t>• No restrictions (Superuser / Management level access)</t>
        </is>
      </c>
      <c r="E10" s="36" t="inlineStr">
        <is>
          <t>1. Master Dashboard KPIs
2. Student Directory
3. Faculty &amp; Staff
4. Fee Receipts &amp; Installments
5. Faculty Payroll &amp; Pay-Slips
6. Excel Database Studio</t>
        </is>
      </c>
      <c r="F10" s="36" t="inlineStr">
        <is>
          <t>Full read/write access across all system tables without filter restriction</t>
        </is>
      </c>
    </row>
    <row r="12">
      <c r="A12" s="33" t="inlineStr">
        <is>
          <t>2. Database Schema for Authentication &amp; RBAC Support</t>
        </is>
      </c>
    </row>
    <row r="13" ht="26" customHeight="1">
      <c r="A13" s="23" t="inlineStr">
        <is>
          <t>Table Name</t>
        </is>
      </c>
      <c r="B13" s="23" t="inlineStr">
        <is>
          <t>Primary Key</t>
        </is>
      </c>
      <c r="C13" s="23" t="inlineStr">
        <is>
          <t>Foreign Keys</t>
        </is>
      </c>
      <c r="D13" s="23" t="inlineStr">
        <is>
          <t>Key Columns &amp; Constraints</t>
        </is>
      </c>
      <c r="E13" s="23" t="inlineStr">
        <is>
          <t>Role in RBAC System</t>
        </is>
      </c>
      <c r="F13" s="23" t="inlineStr">
        <is>
          <t>Target Access Role</t>
        </is>
      </c>
    </row>
    <row r="14" ht="46" customHeight="1">
      <c r="A14" s="35" t="inlineStr">
        <is>
          <t>users
(Central Auth)</t>
        </is>
      </c>
      <c r="B14" s="35" t="inlineStr">
        <is>
          <t>id BIGSERIAL</t>
        </is>
      </c>
      <c r="C14" s="36" t="inlineStr">
        <is>
          <t>student_id -&gt; students(id)
teacher_id -&gt; teachers(id)</t>
        </is>
      </c>
      <c r="D14" s="36" t="inlineStr">
        <is>
          <t>username (UNIQUE), email (UNIQUE), password_hash,
role CHECK (role IN ('admin','teacher','student')),
status ('active','inactive'), last_login_at</t>
        </is>
      </c>
      <c r="E14" s="36" t="inlineStr">
        <is>
          <t>Master authentication store with hashed credentials and role assignment linking to student/teacher profile.</t>
        </is>
      </c>
      <c r="F14" s="36" t="inlineStr">
        <is>
          <t>Admin / Teacher / Student (Login Entry)</t>
        </is>
      </c>
    </row>
    <row r="15" ht="46" customHeight="1">
      <c r="A15" s="37" t="inlineStr">
        <is>
          <t>student_progress_remarks
(Evaluation)</t>
        </is>
      </c>
      <c r="B15" s="37" t="inlineStr">
        <is>
          <t>id BIGSERIAL</t>
        </is>
      </c>
      <c r="C15" s="38" t="inlineStr">
        <is>
          <t>student_id -&gt; students(id)
teacher_id -&gt; teachers(id)</t>
        </is>
      </c>
      <c r="D15" s="38" t="inlineStr">
        <is>
          <t>academic_term, subject_name, performance_level,
remark_text TEXT NOT NULL, created_at</t>
        </is>
      </c>
      <c r="E15" s="38" t="inlineStr">
        <is>
          <t>Allows teachers to write evaluation remarks for students without granting them add/delete permissions for students.</t>
        </is>
      </c>
      <c r="F15" s="38" t="inlineStr">
        <is>
          <t>Teacher (Write/Read),
Student (Read-Only)</t>
        </is>
      </c>
    </row>
    <row r="16" ht="46" customHeight="1">
      <c r="A16" s="35" t="inlineStr">
        <is>
          <t>student_grades_results
(Academic Results)</t>
        </is>
      </c>
      <c r="B16" s="35" t="inlineStr">
        <is>
          <t>id BIGSERIAL</t>
        </is>
      </c>
      <c r="C16" s="36" t="inlineStr">
        <is>
          <t>student_id -&gt; students(id)</t>
        </is>
      </c>
      <c r="D16" s="36" t="inlineStr">
        <is>
          <t>subject_name, exam_type (Midterm/Final), marks_obtained,
max_marks (100.00), grade (A+, A, B, etc.), academic_year</t>
        </is>
      </c>
      <c r="E16" s="36" t="inlineStr">
        <is>
          <t>Stores course examination grades and terminal marks for student personal report card view.</t>
        </is>
      </c>
      <c r="F16" s="36" t="inlineStr">
        <is>
          <t>Admin/Teacher (Manage),
Student (Read-Only)</t>
        </is>
      </c>
    </row>
    <row r="17" ht="46" customHeight="1">
      <c r="A17" s="37" t="inlineStr">
        <is>
          <t>subject_teachers_timetable
(Class Schedule)</t>
        </is>
      </c>
      <c r="B17" s="37" t="inlineStr">
        <is>
          <t>id BIGSERIAL</t>
        </is>
      </c>
      <c r="C17" s="38" t="inlineStr">
        <is>
          <t>class_id -&gt; classes(id)
teacher_id -&gt; teachers(id)</t>
        </is>
      </c>
      <c r="D17" s="38" t="inlineStr">
        <is>
          <t>subject_name, day_of_week (Monday..Friday),
start_time, end_time, room_number</t>
        </is>
      </c>
      <c r="E17" s="38" t="inlineStr">
        <is>
          <t>Connects subjects with teachers and class timings so students view assigned faculty and lecture schedule.</t>
        </is>
      </c>
      <c r="F17" s="38" t="inlineStr">
        <is>
          <t>Admin (Manage),
Teacher &amp; Student (Read-Only)</t>
        </is>
      </c>
    </row>
    <row r="19">
      <c r="A19" s="33" t="inlineStr">
        <is>
          <t>3. Step-by-Step Execution Plan &amp; Milestones</t>
        </is>
      </c>
    </row>
    <row r="20" ht="26" customHeight="1">
      <c r="A20" s="39" t="inlineStr">
        <is>
          <t>Step ID</t>
        </is>
      </c>
      <c r="B20" s="39" t="inlineStr">
        <is>
          <t>Phase</t>
        </is>
      </c>
      <c r="C20" s="39" t="inlineStr">
        <is>
          <t>Milestone / Implementation Task</t>
        </is>
      </c>
      <c r="D20" s="39" t="inlineStr">
        <is>
          <t>Scope &amp; Deliverables</t>
        </is>
      </c>
      <c r="E20" s="39" t="inlineStr">
        <is>
          <t>Target Files</t>
        </is>
      </c>
      <c r="F20" s="39" t="inlineStr">
        <is>
          <t>Priority</t>
        </is>
      </c>
    </row>
    <row r="21" ht="28" customHeight="1">
      <c r="A21" s="40" t="inlineStr">
        <is>
          <t>AUTH-01</t>
        </is>
      </c>
      <c r="B21" s="11" t="inlineStr">
        <is>
          <t>Database Migration</t>
        </is>
      </c>
      <c r="C21" s="11" t="inlineStr">
        <is>
          <t>Create Auth &amp; RBAC Tables in Supabase</t>
        </is>
      </c>
      <c r="D21" s="11" t="inlineStr">
        <is>
          <t>Run SQL DDL for users, student_progress_remarks, student_grades, subject_teachers_timetable</t>
        </is>
      </c>
      <c r="E21" s="11" t="inlineStr">
        <is>
          <t>Supabase SQL Editor / models.h</t>
        </is>
      </c>
      <c r="F21" s="11" t="inlineStr">
        <is>
          <t>High</t>
        </is>
      </c>
    </row>
    <row r="22" ht="28" customHeight="1">
      <c r="A22" s="41" t="inlineStr">
        <is>
          <t>AUTH-02</t>
        </is>
      </c>
      <c r="B22" s="7" t="inlineStr">
        <is>
          <t>Data Seeding</t>
        </is>
      </c>
      <c r="C22" s="7" t="inlineStr">
        <is>
          <t>Seed Default Role Accounts &amp; Test Credentials</t>
        </is>
      </c>
      <c r="D22" s="7" t="inlineStr">
        <is>
          <t>Create Admin account, 3 Teacher accounts (TCH-001..003), and 3 Student accounts (STU-1001..1005)</t>
        </is>
      </c>
      <c r="E22" s="7" t="inlineStr">
        <is>
          <t>SQL Seed Script / Checklist</t>
        </is>
      </c>
      <c r="F22" s="7" t="inlineStr">
        <is>
          <t>High</t>
        </is>
      </c>
    </row>
    <row r="23" ht="28" customHeight="1">
      <c r="A23" s="40" t="inlineStr">
        <is>
          <t>AUTH-03</t>
        </is>
      </c>
      <c r="B23" s="11" t="inlineStr">
        <is>
          <t>Backend Core</t>
        </is>
      </c>
      <c r="C23" s="11" t="inlineStr">
        <is>
          <t>Implement C++ Login REST Endpoint</t>
        </is>
      </c>
      <c r="D23" s="11" t="inlineStr">
        <is>
          <t>Add POST /api/auth/login validating username/password and returning user role, token &amp; profile ID</t>
        </is>
      </c>
      <c r="E23" s="11" t="inlineStr">
        <is>
          <t>backend/src/http_server.cpp</t>
        </is>
      </c>
      <c r="F23" s="11" t="inlineStr">
        <is>
          <t>High</t>
        </is>
      </c>
    </row>
    <row r="24" ht="28" customHeight="1">
      <c r="A24" s="41" t="inlineStr">
        <is>
          <t>AUTH-04</t>
        </is>
      </c>
      <c r="B24" s="7" t="inlineStr">
        <is>
          <t>Frontend UI</t>
        </is>
      </c>
      <c r="C24" s="7" t="inlineStr">
        <is>
          <t>Build Authentication Login Screen &amp; Demo Switcher</t>
        </is>
      </c>
      <c r="D24" s="7" t="inlineStr">
        <is>
          <t>Glassmorphism Login page with role switcher tabs (Student / Teacher / Admin) and 1-click test fill</t>
        </is>
      </c>
      <c r="E24" s="7" t="inlineStr">
        <is>
          <t>frontend/src/Login.jsx</t>
        </is>
      </c>
      <c r="F24" s="7" t="inlineStr">
        <is>
          <t>High</t>
        </is>
      </c>
    </row>
    <row r="25" ht="28" customHeight="1">
      <c r="A25" s="40" t="inlineStr">
        <is>
          <t>AUTH-05</t>
        </is>
      </c>
      <c r="B25" s="11" t="inlineStr">
        <is>
          <t>Frontend Security</t>
        </is>
      </c>
      <c r="C25" s="11" t="inlineStr">
        <is>
          <t>Implement Session State &amp; Navigation Guard</t>
        </is>
      </c>
      <c r="D25" s="11" t="inlineStr">
        <is>
          <t>Store active session in React state/localStorage with Logout button and role-aware navigation bar</t>
        </is>
      </c>
      <c r="E25" s="11" t="inlineStr">
        <is>
          <t>frontend/src/App.jsx</t>
        </is>
      </c>
      <c r="F25" s="11" t="inlineStr">
        <is>
          <t>High</t>
        </is>
      </c>
    </row>
    <row r="26" ht="28" customHeight="1">
      <c r="A26" s="41" t="inlineStr">
        <is>
          <t>AUTH-06</t>
        </is>
      </c>
      <c r="B26" s="7" t="inlineStr">
        <is>
          <t>Student Portal</t>
        </is>
      </c>
      <c r="C26" s="7" t="inlineStr">
        <is>
          <t>Build Student Personal Dashboard &amp; My Records</t>
        </is>
      </c>
      <c r="D26" s="7" t="inlineStr">
        <is>
          <t>Student views own fees &amp; installments, grades/results, attendance, lecture schedule &amp; subject faculty</t>
        </is>
      </c>
      <c r="E26" s="7" t="inlineStr">
        <is>
          <t>frontend/src/StudentPortal.jsx</t>
        </is>
      </c>
      <c r="F26" s="7" t="inlineStr">
        <is>
          <t>High</t>
        </is>
      </c>
    </row>
    <row r="27" ht="28" customHeight="1">
      <c r="A27" s="40" t="inlineStr">
        <is>
          <t>AUTH-07</t>
        </is>
      </c>
      <c r="B27" s="11" t="inlineStr">
        <is>
          <t>Teacher Portal</t>
        </is>
      </c>
      <c r="C27" s="11" t="inlineStr">
        <is>
          <t>Build Teacher Portal &amp; Student Remarks System</t>
        </is>
      </c>
      <c r="D27" s="11" t="inlineStr">
        <is>
          <t>Teacher views own salary pay-slips, assigned student directory (read-only), adds academic remarks</t>
        </is>
      </c>
      <c r="E27" s="11" t="inlineStr">
        <is>
          <t>frontend/src/TeacherPortal.jsx</t>
        </is>
      </c>
      <c r="F27" s="11" t="inlineStr">
        <is>
          <t>High</t>
        </is>
      </c>
    </row>
    <row r="28" ht="28" customHeight="1">
      <c r="A28" s="41" t="inlineStr">
        <is>
          <t>AUTH-08</t>
        </is>
      </c>
      <c r="B28" s="7" t="inlineStr">
        <is>
          <t>Verification</t>
        </is>
      </c>
      <c r="C28" s="7" t="inlineStr">
        <is>
          <t>End-to-End Testing &amp; Visual Audit</t>
        </is>
      </c>
      <c r="D28" s="7" t="inlineStr">
        <is>
          <t>Verify login across all 3 roles, test permission boundaries, capture visual snapshot 'snap1'</t>
        </is>
      </c>
      <c r="E28" s="7" t="inlineStr">
        <is>
          <t>All Components &amp; Walkthrough</t>
        </is>
      </c>
      <c r="F28" s="7" t="inlineStr">
        <is>
          <t>High</t>
        </is>
      </c>
    </row>
  </sheetData>
  <mergeCells count="5">
    <mergeCell ref="A2:F2"/>
    <mergeCell ref="A19:F19"/>
    <mergeCell ref="A1:F1"/>
    <mergeCell ref="A6:F6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2026-09-18T13:07:16Z</dcterms:created>
  <dcterms:modified xsi:type="dcterms:W3CDTF">2026-09-18T13:07:16Z</dcterms:modified>
</cp:coreProperties>
</file>